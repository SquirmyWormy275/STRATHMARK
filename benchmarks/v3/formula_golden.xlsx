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_root_workbook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_sheet1"/>
    <x:sheet xmlns:r="http://schemas.openxmlformats.org/officeDocument/2006/relationships" name="Inputs" sheetId="2" r:id="R_sheet2"/>
    <x:sheet xmlns:r="http://schemas.openxmlformats.org/officeDocument/2006/relationships" name="Governor Projection" sheetId="3" r:id="R_sheet3"/>
    <x:sheet xmlns:r="http://schemas.openxmlformats.org/officeDocument/2006/relationships" name="Transforms" sheetId="4" r:id="R_sheet4"/>
    <x:sheet xmlns:r="http://schemas.openxmlformats.org/officeDocument/2006/relationships" name="IRLS Trace" sheetId="5" r:id="R_sheet5"/>
    <x:sheet xmlns:r="http://schemas.openxmlformats.org/officeDocument/2006/relationships" name="Distribution" sheetId="6" r:id="R_sheet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00000"/>
    <x:numFmt numFmtId="202" formatCode="0.00000000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5AA6"/>
      <x:name val="Carlito"/>
    </x:font>
    <x:font>
      <x:sz val="11"/>
      <x:color rgb="FF166534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F5AA6"/>
      <x:name val="Aptos"/>
    </x:font>
    <x:font>
      <x:sz val="11"/>
      <x:color rgb="FF166534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6"/>
      </x:patternFill>
    </x:fill>
    <x:fill>
      <x:patternFill patternType="solid">
        <x:fgColor rgb="FF147D73"/>
      </x:patternFill>
    </x:fill>
    <x:fill>
      <x:patternFill patternType="solid">
        <x:fgColor rgb="FFE8F5EE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3" fillId="3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1" fontId="4" fillId="5" borderId="1" xfId="0" applyNumberFormat="1" applyFont="1" applyFill="1" applyBorder="1"/>
    <x:xf numFmtId="202" fontId="4" fillId="5" borderId="1" xfId="0" applyNumberFormat="1" applyFont="1" applyFill="1" applyBorder="1"/>
    <x:xf numFmtId="202" fontId="0" fillId="0" borderId="0" xfId="0" applyNumberFormat="1" applyFont="1" applyFill="1" applyBorder="1"/>
    <x:xf numFmtId="202" fontId="2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9" fillId="5" borderId="1" xfId="0" applyNumberFormat="1" applyFont="1" applyFill="1" applyBorder="1"/>
    <x:xf numFmtId="200" fontId="8" fillId="3" borderId="1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1" fontId="9" fillId="5" borderId="1" xfId="0" applyNumberFormat="1" applyFont="1" applyFill="1" applyBorder="1"/>
    <x:xf numFmtId="202" fontId="9" fillId="5" borderId="1" xfId="0" applyNumberFormat="1" applyFont="1" applyFill="1" applyBorder="1"/>
    <x:xf numFmtId="202" fontId="6" fillId="0" borderId="0" xfId="0" applyNumberFormat="1" applyFont="1" applyFill="1" applyBorder="1"/>
    <x:xf numFmtId="202" fontId="7" fillId="4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_styles" /><Relationship Type="http://schemas.openxmlformats.org/officeDocument/2006/relationships/theme" Target="/xl/theme/theme1.xml" Id="R_theme" /><Relationship Type="http://schemas.openxmlformats.org/officeDocument/2006/relationships/sharedStrings" Target="/xl/sharedStrings.xml" Id="R_shared_strings" /><Relationship Type="http://schemas.openxmlformats.org/officeDocument/2006/relationships/worksheet" Target="/xl/worksheets/sheet1.xml" Id="R_sheet1" /><Relationship Type="http://schemas.openxmlformats.org/officeDocument/2006/relationships/worksheet" Target="/xl/worksheets/sheet2.xml" Id="R_sheet2" /><Relationship Type="http://schemas.openxmlformats.org/officeDocument/2006/relationships/worksheet" Target="/xl/worksheets/sheet3.xml" Id="R_sheet3" /><Relationship Type="http://schemas.openxmlformats.org/officeDocument/2006/relationships/worksheet" Target="/xl/worksheets/sheet4.xml" Id="R_sheet4" /><Relationship Type="http://schemas.openxmlformats.org/officeDocument/2006/relationships/worksheet" Target="/xl/worksheets/sheet5.xml" Id="R_sheet5" /><Relationship Type="http://schemas.openxmlformats.org/officeDocument/2006/relationships/worksheet" Target="/xl/worksheets/sheet6.xml" Id="R_sheet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68" hidden="0" customWidth="1"/>
    <x:col min="6" max="6" width="18" hidden="0" customWidth="1"/>
    <x:col min="7" max="7" width="18" hidden="0" customWidth="1"/>
    <x:col min="8" max="8" width="3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68" hidden="0" customWidth="1"/>
  </x:cols>
  <x:sheetData>
    <x:row r="1" ht="30" customHeight="1">
      <x:c r="A1" s="23" t="str">
        <x:v>STRATHMARK V3 Formula Assessor — Frozen Parameter and Prior Bundle</x:v>
      </x:c>
      <x:c r="B1" s="23" t="str">
        <x:v>STRATHMARK V3 Formula Assessor — Frozen Parameter and Prior Bundle</x:v>
      </x:c>
      <x:c r="C1" s="23" t="str">
        <x:v>STRATHMARK V3 Formula Assessor — Frozen Parameter and Prior Bundle</x:v>
      </x:c>
      <x:c r="D1" s="23" t="str">
        <x:v>STRATHMARK V3 Formula Assessor — Frozen Parameter and Prior Bundle</x:v>
      </x:c>
      <x:c r="E1" s="23" t="str">
        <x:v>STRATHMARK V3 Formula Assessor — Frozen Parameter and Prior Bundle</x:v>
      </x:c>
      <x:c r="F1" s="23" t="str">
        <x:v>STRATHMARK V3 Formula Assessor — Frozen Parameter and Prior Bundle</x:v>
      </x:c>
      <x:c r="G1" s="23" t="str">
        <x:v>STRATHMARK V3 Formula Assessor — Frozen Parameter and Prior Bundle</x:v>
      </x:c>
      <x:c r="H1" s="23" t="str">
        <x:v>STRATHMARK V3 Formula Assessor — Frozen Parameter and Prior Bundle</x:v>
      </x:c>
      <x:c r="I1" s="23" t="str">
        <x:v>STRATHMARK V3 Formula Assessor — Frozen Parameter and Prior Bundle</x:v>
      </x:c>
      <x:c r="J1" s="23" t="str">
        <x:v>STRATHMARK V3 Formula Assessor — Frozen Parameter and Prior Bundle</x:v>
      </x:c>
      <x:c r="K1" s="23" t="str">
        <x:v>STRATHMARK V3 Formula Assessor — Frozen Parameter and Prior Bundle</x:v>
      </x:c>
      <x:c r="L1" s="23" t="str">
        <x:v>STRATHMARK V3 Formula Assessor — Frozen Parameter and Prior Bundle</x:v>
      </x:c>
      <x:c r="M1" s="23" t="str">
        <x:v>STRATHMARK V3 Formula Assessor — Frozen Parameter and Prior Bundle</x:v>
      </x:c>
      <x:c r="N1" s="23" t="str">
        <x:v>STRATHMARK V3 Formula Assessor — Frozen Parameter and Prior Bundle</x:v>
      </x:c>
      <x:c r="O1" s="23" t="str">
        <x:v>STRATHMARK V3 Formula Assessor — Frozen Parameter and Prior Bundle</x:v>
      </x:c>
      <x:c r="P1" s="23" t="str">
        <x:v>STRATHMARK V3 Formula Assessor — Frozen Parameter and Prior Bundle</x:v>
      </x:c>
      <x:c r="Q1" s="23" t="str">
        <x:v>STRATHMARK V3 Formula Assessor — Frozen Parameter and Prior Bundle</x:v>
      </x:c>
      <x:c r="R1" s="24"/>
      <x:c r="S1" s="24"/>
      <x:c r="T1" s="24"/>
      <x:c r="U1" s="24"/>
      <x:c r="V1" s="24"/>
      <x:c r="W1" s="24"/>
    </x:row>
    <x:row r="2" ht="34" customHeight="1">
      <x:c r="A2" s="25" t="str">
        <x:v>Gold cells are published assumptions or sealed facts. Green cells are formulas. Prior selection is exact target context, then declared discipline, then frozen population fallback.</x:v>
      </x:c>
      <x:c r="B2" s="25" t="str">
        <x:v>Gold cells are published assumptions or sealed facts. Green cells are formulas. Prior selection is exact target context, then declared discipline, then frozen population fallback.</x:v>
      </x:c>
      <x:c r="C2" s="25" t="str">
        <x:v>Gold cells are published assumptions or sealed facts. Green cells are formulas. Prior selection is exact target context, then declared discipline, then frozen population fallback.</x:v>
      </x:c>
      <x:c r="D2" s="25" t="str">
        <x:v>Gold cells are published assumptions or sealed facts. Green cells are formulas. Prior selection is exact target context, then declared discipline, then frozen population fallback.</x:v>
      </x:c>
      <x:c r="E2" s="25" t="str">
        <x:v>Gold cells are published assumptions or sealed facts. Green cells are formulas. Prior selection is exact target context, then declared discipline, then frozen population fallback.</x:v>
      </x:c>
      <x:c r="F2" s="25" t="str">
        <x:v>Gold cells are published assumptions or sealed facts. Green cells are formulas. Prior selection is exact target context, then declared discipline, then frozen population fallback.</x:v>
      </x:c>
      <x:c r="G2" s="25" t="str">
        <x:v>Gold cells are published assumptions or sealed facts. Green cells are formulas. Prior selection is exact target context, then declared discipline, then frozen population fallback.</x:v>
      </x:c>
      <x:c r="H2" s="25" t="str">
        <x:v>Gold cells are published assumptions or sealed facts. Green cells are formulas. Prior selection is exact target context, then declared discipline, then frozen population fallback.</x:v>
      </x:c>
      <x:c r="I2" s="25" t="str">
        <x:v>Gold cells are published assumptions or sealed facts. Green cells are formulas. Prior selection is exact target context, then declared discipline, then frozen population fallback.</x:v>
      </x:c>
      <x:c r="J2" s="25" t="str">
        <x:v>Gold cells are published assumptions or sealed facts. Green cells are formulas. Prior selection is exact target context, then declared discipline, then frozen population fallback.</x:v>
      </x:c>
      <x:c r="K2" s="25" t="str">
        <x:v>Gold cells are published assumptions or sealed facts. Green cells are formulas. Prior selection is exact target context, then declared discipline, then frozen population fallback.</x:v>
      </x:c>
      <x:c r="L2" s="25" t="str">
        <x:v>Gold cells are published assumptions or sealed facts. Green cells are formulas. Prior selection is exact target context, then declared discipline, then frozen population fallback.</x:v>
      </x:c>
      <x:c r="M2" s="25" t="str">
        <x:v>Gold cells are published assumptions or sealed facts. Green cells are formulas. Prior selection is exact target context, then declared discipline, then frozen population fallback.</x:v>
      </x:c>
      <x:c r="N2" s="25" t="str">
        <x:v>Gold cells are published assumptions or sealed facts. Green cells are formulas. Prior selection is exact target context, then declared discipline, then frozen population fallback.</x:v>
      </x:c>
      <x:c r="O2" s="25" t="str">
        <x:v>Gold cells are published assumptions or sealed facts. Green cells are formulas. Prior selection is exact target context, then declared discipline, then frozen population fallback.</x:v>
      </x:c>
      <x:c r="P2" s="25" t="str">
        <x:v>Gold cells are published assumptions or sealed facts. Green cells are formulas. Prior selection is exact target context, then declared discipline, then frozen population fallback.</x:v>
      </x:c>
      <x:c r="Q2" s="25" t="str">
        <x:v>Gold cells are published assumptions or sealed facts. Green cells are formulas. Prior selection is exact target context, then declared discipline, then frozen population fallback.</x:v>
      </x:c>
      <x:c r="R2" s="24"/>
      <x:c r="S2" s="24"/>
      <x:c r="T2" s="24"/>
      <x:c r="U2" s="24"/>
      <x:c r="V2" s="24"/>
      <x:c r="W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</x:row>
    <x:row r="4">
      <x:c r="A4" s="26" t="str">
        <x:v>Parameter</x:v>
      </x:c>
      <x:c r="B4" s="26" t="str">
        <x:v>Value</x:v>
      </x:c>
      <x:c r="C4" s="24"/>
      <x:c r="D4" s="26" t="str">
        <x:v>Event</x:v>
      </x:c>
      <x:c r="E4" s="26" t="str">
        <x:v>Scale</x:v>
      </x:c>
      <x:c r="F4" s="26" t="str">
        <x:v>Size exponent</x:v>
      </x:c>
      <x:c r="G4" s="26" t="str">
        <x:v>Discipline</x:v>
      </x:c>
      <x:c r="H4" s="26" t="str">
        <x:v>Lookup key</x:v>
      </x:c>
      <x:c r="I4" s="26" t="str">
        <x:v>Tier</x:v>
      </x:c>
      <x:c r="J4" s="26" t="str">
        <x:v>Event</x:v>
      </x:c>
      <x:c r="K4" s="26" t="str">
        <x:v>Diameter mm</x:v>
      </x:c>
      <x:c r="L4" s="26" t="str">
        <x:v>Material</x:v>
      </x:c>
      <x:c r="M4" s="26" t="str">
        <x:v>Discipline</x:v>
      </x:c>
      <x:c r="N4" s="26" t="str">
        <x:v>Median seconds</x:v>
      </x:c>
      <x:c r="O4" s="26" t="str">
        <x:v>Log variance</x:v>
      </x:c>
      <x:c r="P4" s="26" t="str">
        <x:v>Pseudo strength</x:v>
      </x:c>
      <x:c r="Q4" s="26" t="str">
        <x:v>Lineage SHA-256</x:v>
      </x:c>
      <x:c r="R4" s="24"/>
      <x:c r="S4" s="24"/>
      <x:c r="T4" s="24"/>
      <x:c r="U4" s="24"/>
      <x:c r="V4" s="24"/>
      <x:c r="W4" s="24"/>
    </x:row>
    <x:row r="5">
      <x:c r="A5" s="27" t="str">
        <x:v>Huber c</x:v>
      </x:c>
      <x:c r="B5" s="27" t="n">
        <x:v>1.5</x:v>
      </x:c>
      <x:c r="C5" s="24"/>
      <x:c r="D5" s="27" t="str">
        <x:v>single_buck</x:v>
      </x:c>
      <x:c r="E5" s="27" t="n">
        <x:v>1.3</x:v>
      </x:c>
      <x:c r="F5" s="27" t="n">
        <x:v>1.8</x:v>
      </x:c>
      <x:c r="G5" s="27" t="str">
        <x:v>sawing</x:v>
      </x:c>
      <x:c r="H5" s="27" t="str">
        <x:v>standing_block|300|eucalyptus</x:v>
      </x:c>
      <x:c r="I5" s="27" t="str">
        <x:v>exact_context</x:v>
      </x:c>
      <x:c r="J5" s="27" t="str">
        <x:v>standing_block</x:v>
      </x:c>
      <x:c r="K5" s="27" t="n">
        <x:v>300</x:v>
      </x:c>
      <x:c r="L5" s="27" t="str">
        <x:v>eucalyptus</x:v>
      </x:c>
      <x:c r="M5" s="27" t="str">
        <x:v>axe</x:v>
      </x:c>
      <x:c r="N5" s="27" t="n">
        <x:v>52</x:v>
      </x:c>
      <x:c r="O5" s="27" t="n">
        <x:v>0.1764</x:v>
      </x:c>
      <x:c r="P5" s="27" t="n">
        <x:v>3</x:v>
      </x:c>
      <x:c r="Q5" s="27" t="str">
        <x:v>b15434b2c74b2db5ffaa698c623ecb122b760b41f8d928ad1a3b02fa494cf1f1</x:v>
      </x:c>
      <x:c r="R5" s="24"/>
      <x:c r="S5" s="24"/>
      <x:c r="T5" s="24"/>
      <x:c r="U5" s="24"/>
      <x:c r="V5" s="24"/>
      <x:c r="W5" s="24"/>
    </x:row>
    <x:row r="6">
      <x:c r="A6" s="27" t="str">
        <x:v>Max IRLS iterations</x:v>
      </x:c>
      <x:c r="B6" s="27" t="n">
        <x:v>20</x:v>
      </x:c>
      <x:c r="C6" s="24"/>
      <x:c r="D6" s="27" t="str">
        <x:v>standing_block</x:v>
      </x:c>
      <x:c r="E6" s="27" t="n">
        <x:v>1.08</x:v>
      </x:c>
      <x:c r="F6" s="27" t="n">
        <x:v>2.05</x:v>
      </x:c>
      <x:c r="G6" s="27" t="str">
        <x:v>axe</x:v>
      </x:c>
      <x:c r="H6" s="27" t="str">
        <x:v>underhand|300|eucalyptus</x:v>
      </x:c>
      <x:c r="I6" s="27" t="str">
        <x:v>exact_context</x:v>
      </x:c>
      <x:c r="J6" s="27" t="str">
        <x:v>underhand</x:v>
      </x:c>
      <x:c r="K6" s="27" t="n">
        <x:v>300</x:v>
      </x:c>
      <x:c r="L6" s="27" t="str">
        <x:v>eucalyptus</x:v>
      </x:c>
      <x:c r="M6" s="27" t="str">
        <x:v>axe</x:v>
      </x:c>
      <x:c r="N6" s="27" t="n">
        <x:v>45</x:v>
      </x:c>
      <x:c r="O6" s="27" t="n">
        <x:v>0.16</x:v>
      </x:c>
      <x:c r="P6" s="27" t="n">
        <x:v>3</x:v>
      </x:c>
      <x:c r="Q6" s="27" t="str">
        <x:v>be67bb87329d79a404244a99832bebae1275271faca40713ed7e784e68727d4d</x:v>
      </x:c>
      <x:c r="R6" s="24"/>
      <x:c r="S6" s="24"/>
      <x:c r="T6" s="24"/>
      <x:c r="U6" s="24"/>
      <x:c r="V6" s="24"/>
      <x:c r="W6" s="24"/>
    </x:row>
    <x:row r="7">
      <x:c r="A7" s="27" t="str">
        <x:v>IRLS tolerance</x:v>
      </x:c>
      <x:c r="B7" s="27" t="n">
        <x:v>1e-10</x:v>
      </x:c>
      <x:c r="C7" s="24"/>
      <x:c r="D7" s="27" t="str">
        <x:v>underhand</x:v>
      </x:c>
      <x:c r="E7" s="27" t="n">
        <x:v>1</x:v>
      </x:c>
      <x:c r="F7" s="27" t="n">
        <x:v>2</x:v>
      </x:c>
      <x:c r="G7" s="27" t="str">
        <x:v>axe</x:v>
      </x:c>
      <x:c r="H7" s="27" t="str">
        <x:v>underhand|350|pine</x:v>
      </x:c>
      <x:c r="I7" s="27" t="str">
        <x:v>exact_context</x:v>
      </x:c>
      <x:c r="J7" s="27" t="str">
        <x:v>underhand</x:v>
      </x:c>
      <x:c r="K7" s="27" t="n">
        <x:v>350</x:v>
      </x:c>
      <x:c r="L7" s="27" t="str">
        <x:v>pine</x:v>
      </x:c>
      <x:c r="M7" s="27" t="str">
        <x:v>axe</x:v>
      </x:c>
      <x:c r="N7" s="27" t="n">
        <x:v>58</x:v>
      </x:c>
      <x:c r="O7" s="27" t="n">
        <x:v>0.3025</x:v>
      </x:c>
      <x:c r="P7" s="27" t="n">
        <x:v>3</x:v>
      </x:c>
      <x:c r="Q7" s="27" t="str">
        <x:v>c100f311d763ccb7b49ccff80159b7244b2f891e044126c73ad972d4ee75a52e</x:v>
      </x:c>
      <x:c r="R7" s="24"/>
      <x:c r="S7" s="24"/>
      <x:c r="T7" s="24"/>
      <x:c r="U7" s="24"/>
      <x:c r="V7" s="24"/>
      <x:c r="W7" s="24"/>
    </x:row>
    <x:row r="8">
      <x:c r="A8" s="27" t="str">
        <x:v>MAD consistency</x:v>
      </x:c>
      <x:c r="B8" s="27" t="n">
        <x:v>1.4826</x:v>
      </x:c>
      <x:c r="C8" s="24"/>
      <x:c r="D8" s="24"/>
      <x:c r="E8" s="24"/>
      <x:c r="F8" s="24"/>
      <x:c r="G8" s="24"/>
      <x:c r="H8" s="27" t="str">
        <x:v>axe</x:v>
      </x:c>
      <x:c r="I8" s="27" t="str">
        <x:v>discipline</x:v>
      </x:c>
      <x:c r="J8" s="27" t="str"/>
      <x:c r="K8" s="27"/>
      <x:c r="L8" s="27" t="str"/>
      <x:c r="M8" s="27" t="str">
        <x:v>axe</x:v>
      </x:c>
      <x:c r="N8" s="27" t="n">
        <x:v>49</x:v>
      </x:c>
      <x:c r="O8" s="27" t="n">
        <x:v>0.25</x:v>
      </x:c>
      <x:c r="P8" s="27" t="n">
        <x:v>3</x:v>
      </x:c>
      <x:c r="Q8" s="27" t="str">
        <x:v>e435c4d1cd8a5dceb3a9a3af9ec9ff58b6316b5e4ca03500272e2aa016a3dfc2</x:v>
      </x:c>
      <x:c r="R8" s="24"/>
      <x:c r="S8" s="24"/>
      <x:c r="T8" s="24"/>
      <x:c r="U8" s="24"/>
      <x:c r="V8" s="24"/>
      <x:c r="W8" s="24"/>
    </x:row>
    <x:row r="9">
      <x:c r="A9" s="27" t="str">
        <x:v>Minimum robust scale</x:v>
      </x:c>
      <x:c r="B9" s="27" t="n">
        <x:v>0.05</x:v>
      </x:c>
      <x:c r="C9" s="24"/>
      <x:c r="D9" s="24"/>
      <x:c r="E9" s="24"/>
      <x:c r="F9" s="24"/>
      <x:c r="G9" s="24"/>
      <x:c r="H9" s="27" t="str">
        <x:v>sawing</x:v>
      </x:c>
      <x:c r="I9" s="27" t="str">
        <x:v>discipline</x:v>
      </x:c>
      <x:c r="J9" s="27" t="str"/>
      <x:c r="K9" s="27"/>
      <x:c r="L9" s="27" t="str"/>
      <x:c r="M9" s="27" t="str">
        <x:v>sawing</x:v>
      </x:c>
      <x:c r="N9" s="27" t="n">
        <x:v>65</x:v>
      </x:c>
      <x:c r="O9" s="27" t="n">
        <x:v>0.3025</x:v>
      </x:c>
      <x:c r="P9" s="27" t="n">
        <x:v>3</x:v>
      </x:c>
      <x:c r="Q9" s="27" t="str">
        <x:v>c2b4b42da3cd0cd980cf135b8924aadf1671e839175b8125d168153e6082b507</x:v>
      </x:c>
      <x:c r="R9" s="24"/>
      <x:c r="S9" s="24"/>
      <x:c r="T9" s="24"/>
      <x:c r="U9" s="24"/>
      <x:c r="V9" s="24"/>
      <x:c r="W9" s="24"/>
    </x:row>
    <x:row r="10">
      <x:c r="A10" s="27" t="str">
        <x:v>Exact context</x:v>
      </x:c>
      <x:c r="B10" s="27" t="n">
        <x:v>1</x:v>
      </x:c>
      <x:c r="C10" s="24"/>
      <x:c r="D10" s="26" t="str">
        <x:v>Conversion variance</x:v>
      </x:c>
      <x:c r="E10" s="26" t="str">
        <x:v>Value</x:v>
      </x:c>
      <x:c r="F10" s="24"/>
      <x:c r="G10" s="24"/>
      <x:c r="H10" s="27" t="str">
        <x:v>population</x:v>
      </x:c>
      <x:c r="I10" s="27" t="str">
        <x:v>population</x:v>
      </x:c>
      <x:c r="J10" s="27" t="str"/>
      <x:c r="K10" s="27"/>
      <x:c r="L10" s="27" t="str"/>
      <x:c r="M10" s="27" t="str"/>
      <x:c r="N10" s="27" t="n">
        <x:v>55</x:v>
      </x:c>
      <x:c r="O10" s="27" t="n">
        <x:v>0.4225</x:v>
      </x:c>
      <x:c r="P10" s="27" t="n">
        <x:v>3</x:v>
      </x:c>
      <x:c r="Q10" s="27" t="str">
        <x:v>0ac3345d97864c3b6db118ef06107316b3fe73751e0a290cfeb9e19e4413aee7</x:v>
      </x:c>
      <x:c r="R10" s="24"/>
      <x:c r="S10" s="24"/>
      <x:c r="T10" s="24"/>
      <x:c r="U10" s="24"/>
      <x:c r="V10" s="24"/>
      <x:c r="W10" s="24"/>
    </x:row>
    <x:row r="11">
      <x:c r="A11" s="27" t="str">
        <x:v>Same discipline</x:v>
      </x:c>
      <x:c r="B11" s="27" t="n">
        <x:v>0.6</x:v>
      </x:c>
      <x:c r="C11" s="24"/>
      <x:c r="D11" s="27" t="str">
        <x:v>Same discipline</x:v>
      </x:c>
      <x:c r="E11" s="27" t="n">
        <x:v>0.01</x:v>
      </x:c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</x:row>
    <x:row r="12">
      <x:c r="A12" s="27" t="str">
        <x:v>Cross discipline</x:v>
      </x:c>
      <x:c r="B12" s="27" t="n">
        <x:v>0.25</x:v>
      </x:c>
      <x:c r="C12" s="24"/>
      <x:c r="D12" s="27" t="str">
        <x:v>Cross discipline</x:v>
      </x:c>
      <x:c r="E12" s="27" t="n">
        <x:v>0.04</x:v>
      </x:c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</x:row>
    <x:row r="13">
      <x:c r="A13" s="27" t="str">
        <x:v>Diameter decay</x:v>
      </x:c>
      <x:c r="B13" s="27" t="n">
        <x:v>2</x:v>
      </x:c>
      <x:c r="C13" s="24"/>
      <x:c r="D13" s="27" t="str">
        <x:v>Size coefficient</x:v>
      </x:c>
      <x:c r="E13" s="27" t="n">
        <x:v>0.15</x:v>
      </x:c>
      <x:c r="F13" s="24"/>
      <x:c r="G13" s="24"/>
      <x:c r="H13" s="26" t="str">
        <x:v>Selected prior field</x:v>
      </x:c>
      <x:c r="I13" s="26" t="str">
        <x:v>Formula-derived value</x:v>
      </x:c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</x:row>
    <x:row r="14">
      <x:c r="A14" s="27" t="str">
        <x:v>Recency half-life days</x:v>
      </x:c>
      <x:c r="B14" s="27" t="n">
        <x:v>730</x:v>
      </x:c>
      <x:c r="C14" s="24"/>
      <x:c r="D14" s="27" t="str">
        <x:v>Material coefficient</x:v>
      </x:c>
      <x:c r="E14" s="27" t="n">
        <x:v>0.25</x:v>
      </x:c>
      <x:c r="F14" s="24"/>
      <x:c r="G14" s="24"/>
      <x:c r="H14" s="28" t="str">
        <x:v>Target context key</x:v>
      </x:c>
      <x:c r="I14" s="28" t="str">
        <x:f>'Inputs'!$B$4&amp;"|"&amp;'Inputs'!$B$5&amp;"|"&amp;'Inputs'!$B$6</x:f>
        <x:v>underhand|300|eucalyptus</x:v>
      </x:c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</x:row>
    <x:row r="15">
      <x:c r="A15" s="27" t="str">
        <x:v>Issued official</x:v>
      </x:c>
      <x:c r="B15" s="27" t="n">
        <x:v>1</x:v>
      </x:c>
      <x:c r="C15" s="24"/>
      <x:c r="D15" s="24"/>
      <x:c r="E15" s="24"/>
      <x:c r="F15" s="24"/>
      <x:c r="G15" s="24"/>
      <x:c r="H15" s="28" t="str">
        <x:v>Target discipline</x:v>
      </x:c>
      <x:c r="I15" s="28" t="str">
        <x:f>VLOOKUP('Inputs'!$B$4,$D$5:$G$7,4,FALSE)</x:f>
        <x:v>axe</x:v>
      </x:c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</x:row>
    <x:row r="16">
      <x:c r="A16" s="27" t="str">
        <x:v>Verified historical</x:v>
      </x:c>
      <x:c r="B16" s="27" t="n">
        <x:v>0.85</x:v>
      </x:c>
      <x:c r="C16" s="24"/>
      <x:c r="D16" s="24"/>
      <x:c r="E16" s="24"/>
      <x:c r="F16" s="24"/>
      <x:c r="G16" s="24"/>
      <x:c r="H16" s="28" t="str">
        <x:v>Source row</x:v>
      </x:c>
      <x:c r="I16" s="28" t="n">
        <x:f>IF(I14=$H$5,ROW($H$5),IF(I14=$H$6,ROW($H$6),IF(I14=$H$7,ROW($H$7),IF(I15=$H$8,ROW($H$8),IF(I15=$H$9,ROW($H$9),ROW($H$10))))))</x:f>
        <x:v>6</x:v>
      </x:c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</x:row>
    <x:row r="17">
      <x:c r="A17" s="27" t="str">
        <x:v>Active tournament</x:v>
      </x:c>
      <x:c r="B17" s="27" t="n">
        <x:v>1</x:v>
      </x:c>
      <x:c r="C17" s="24"/>
      <x:c r="D17" s="26" t="str">
        <x:v>Positive support</x:v>
      </x:c>
      <x:c r="E17" s="26" t="str">
        <x:v>Value</x:v>
      </x:c>
      <x:c r="F17" s="24"/>
      <x:c r="G17" s="24"/>
      <x:c r="H17" s="28" t="str">
        <x:v>Tier</x:v>
      </x:c>
      <x:c r="I17" s="28" t="str">
        <x:f>INDEX($I$5:$I$10,I16-4)</x:f>
        <x:v>exact_context</x:v>
      </x:c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</x:row>
    <x:row r="18">
      <x:c r="A18" s="27" t="str">
        <x:v>Other authoritative</x:v>
      </x:c>
      <x:c r="B18" s="27" t="n">
        <x:v>0.9</x:v>
      </x:c>
      <x:c r="C18" s="24"/>
      <x:c r="D18" s="27" t="str">
        <x:v>Minimum log sigma</x:v>
      </x:c>
      <x:c r="E18" s="27" t="n">
        <x:v>0.05</x:v>
      </x:c>
      <x:c r="F18" s="24"/>
      <x:c r="G18" s="24"/>
      <x:c r="H18" s="28" t="str">
        <x:v>Median seconds</x:v>
      </x:c>
      <x:c r="I18" s="28" t="n">
        <x:f>INDEX($N$5:$N$10,I16-4)</x:f>
        <x:v>45</x:v>
      </x:c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</x:row>
    <x:row r="19">
      <x:c r="A19" s="27" t="str">
        <x:v>Legacy</x:v>
      </x:c>
      <x:c r="B19" s="27" t="n">
        <x:v>0.75</x:v>
      </x:c>
      <x:c r="C19" s="24"/>
      <x:c r="D19" s="27" t="str">
        <x:v>Maximum log sigma</x:v>
      </x:c>
      <x:c r="E19" s="27" t="n">
        <x:v>1.5</x:v>
      </x:c>
      <x:c r="F19" s="24"/>
      <x:c r="G19" s="24"/>
      <x:c r="H19" s="28" t="str">
        <x:v>Log variance / pseudo</x:v>
      </x:c>
      <x:c r="I19" s="28" t="str">
        <x:f>INDEX($O$5:$O$10,I16-4)&amp;" / "&amp;INDEX($P$5:$P$10,I16-4)</x:f>
        <x:v>0.16 / 3</x:v>
      </x:c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</x:row>
    <x:row r="20">
      <x:c r="A20" s="27" t="str">
        <x:v>Density exponent</x:v>
      </x:c>
      <x:c r="B20" s="27" t="n">
        <x:v>0.35</x:v>
      </x:c>
      <x:c r="C20" s="24"/>
      <x:c r="D20" s="27" t="str">
        <x:v>Minimum time ms</x:v>
      </x:c>
      <x:c r="E20" s="27" t="n">
        <x:v>1</x:v>
      </x:c>
      <x:c r="F20" s="24"/>
      <x:c r="G20" s="24"/>
      <x:c r="H20" s="28" t="str">
        <x:v>Lineage</x:v>
      </x:c>
      <x:c r="I20" s="28" t="str">
        <x:f>INDEX($Q$5:$Q$10,I16-4)</x:f>
        <x:v>be67bb87329d79a404244a99832bebae1275271faca40713ed7e784e68727d4d</x:v>
      </x:c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</x:row>
    <x:row r="21">
      <x:c r="A21" s="27" t="str">
        <x:v>Dense effective N</x:v>
      </x:c>
      <x:c r="B21" s="27" t="n">
        <x:v>5</x:v>
      </x:c>
      <x:c r="C21" s="24"/>
      <x:c r="D21" s="27" t="str">
        <x:v>Maximum time ms</x:v>
      </x:c>
      <x:c r="E21" s="27" t="n">
        <x:v>600000</x:v>
      </x:c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</x:row>
    <x:row r="22">
      <x:c r="A22" s="27" t="str">
        <x:v>Time quantum ms</x:v>
      </x:c>
      <x:c r="B22" s="27" t="n">
        <x:v>1</x:v>
      </x:c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</x:row>
    <x:row r="23">
      <x:c r="A23" s="24"/>
      <x:c r="B23" s="24"/>
      <x:c r="C23" s="24"/>
      <x:c r="D23" s="26" t="str">
        <x:v>Manifest lock</x:v>
      </x:c>
      <x:c r="E23" s="26" t="str">
        <x:v>Published value</x:v>
      </x:c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</x:row>
    <x:row r="24">
      <x:c r="A24" s="24"/>
      <x:c r="B24" s="24"/>
      <x:c r="C24" s="24"/>
      <x:c r="D24" s="27" t="str">
        <x:v>SHA-256</x:v>
      </x:c>
      <x:c r="E24" s="27" t="str">
        <x:v>2c58a9527c77a33e0b813fe938db44c6298ac0ea8b543a199b720d97baaf1354</x:v>
      </x:c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</x:row>
    <x:row r="26">
      <x:c r="A26" s="24"/>
      <x:c r="B26" s="24"/>
      <x:c r="C26" s="24"/>
      <x:c r="D26" s="26" t="str">
        <x:v>Quantile probability</x:v>
      </x:c>
      <x:c r="E26" s="26" t="str">
        <x:v>Frozen Z score</x:v>
      </x:c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</x:row>
    <x:row r="27">
      <x:c r="A27" s="24"/>
      <x:c r="B27" s="24"/>
      <x:c r="C27" s="24"/>
      <x:c r="D27" s="27" t="n">
        <x:v>0.05</x:v>
      </x:c>
      <x:c r="E27" s="27" t="n">
        <x:v>-1.645</x:v>
      </x:c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</x:row>
    <x:row r="28">
      <x:c r="A28" s="24"/>
      <x:c r="B28" s="24"/>
      <x:c r="C28" s="24"/>
      <x:c r="D28" s="27" t="n">
        <x:v>0.25</x:v>
      </x:c>
      <x:c r="E28" s="27" t="n">
        <x:v>-0.674</x:v>
      </x:c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</x:row>
    <x:row r="29">
      <x:c r="A29" s="24"/>
      <x:c r="B29" s="24"/>
      <x:c r="C29" s="24"/>
      <x:c r="D29" s="27" t="n">
        <x:v>0.5</x:v>
      </x:c>
      <x:c r="E29" s="27" t="n">
        <x:v>0</x:v>
      </x:c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</x:row>
    <x:row r="30">
      <x:c r="A30" s="24"/>
      <x:c r="B30" s="24"/>
      <x:c r="C30" s="24"/>
      <x:c r="D30" s="27" t="n">
        <x:v>0.75</x:v>
      </x:c>
      <x:c r="E30" s="27" t="n">
        <x:v>0.674</x:v>
      </x:c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</x:row>
    <x:row r="31">
      <x:c r="A31" s="24"/>
      <x:c r="B31" s="24"/>
      <x:c r="C31" s="24"/>
      <x:c r="D31" s="27" t="n">
        <x:v>0.95</x:v>
      </x:c>
      <x:c r="E31" s="27" t="n">
        <x:v>1.645</x:v>
      </x:c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</x:row>
  </x:sheetData>
  <x:mergeCells>
    <x:mergeCell ref="A1:Q1"/>
    <x:mergeCell ref="A2:Q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2" hidden="0" customWidth="1"/>
    <x:col min="4" max="4" width="17" hidden="0" customWidth="1"/>
    <x:col min="5" max="5" width="24" hidden="0" customWidth="1"/>
    <x:col min="6" max="6" width="17" hidden="0" customWidth="1"/>
    <x:col min="7" max="7" width="22" hidden="0" customWidth="1"/>
    <x:col min="8" max="8" width="68" hidden="0" customWidth="1"/>
    <x:col min="9" max="9" width="22" hidden="0" customWidth="1"/>
    <x:col min="10" max="10" width="17" hidden="0" customWidth="1"/>
    <x:col min="11" max="11" width="24" hidden="0" customWidth="1"/>
    <x:col min="12" max="12" width="24" hidden="0" customWidth="1"/>
    <x:col min="13" max="13" width="17" hidden="0" customWidth="1"/>
    <x:col min="14" max="14" width="68" hidden="0" customWidth="1"/>
    <x:col min="15" max="15" width="72" hidden="0" customWidth="1"/>
    <x:col min="16" max="16" width="17" hidden="0" customWidth="1"/>
  </x:cols>
  <x:sheetData>
    <x:row r="1" ht="30" customHeight="1">
      <x:c r="A1" s="23" t="str">
        <x:v>Golden Replay — Visible Target, P-256-Sealed Governor Facts, and Raw Evidence</x:v>
      </x:c>
      <x:c r="B1" s="23" t="str">
        <x:v>Golden Replay — Visible Target, P-256-Sealed Governor Facts, and Raw Evidence</x:v>
      </x:c>
      <x:c r="C1" s="23" t="str">
        <x:v>Golden Replay — Visible Target, P-256-Sealed Governor Facts, and Raw Evidence</x:v>
      </x:c>
      <x:c r="D1" s="23" t="str">
        <x:v>Golden Replay — Visible Target, P-256-Sealed Governor Facts, and Raw Evidence</x:v>
      </x:c>
      <x:c r="E1" s="23" t="str">
        <x:v>Golden Replay — Visible Target, P-256-Sealed Governor Facts, and Raw Evidence</x:v>
      </x:c>
      <x:c r="F1" s="23" t="str">
        <x:v>Golden Replay — Visible Target, P-256-Sealed Governor Facts, and Raw Evidence</x:v>
      </x:c>
      <x:c r="G1" s="23" t="str">
        <x:v>Golden Replay — Visible Target, P-256-Sealed Governor Facts, and Raw Evidence</x:v>
      </x:c>
      <x:c r="H1" s="23" t="str">
        <x:v>Golden Replay — Visible Target, P-256-Sealed Governor Facts, and Raw Evidence</x:v>
      </x:c>
      <x:c r="I1" s="23" t="str">
        <x:v>Golden Replay — Visible Target, P-256-Sealed Governor Facts, and Raw Evidence</x:v>
      </x:c>
      <x:c r="J1" s="23" t="str">
        <x:v>Golden Replay — Visible Target, P-256-Sealed Governor Facts, and Raw Evidence</x:v>
      </x:c>
      <x:c r="K1" s="23" t="str">
        <x:v>Golden Replay — Visible Target, P-256-Sealed Governor Facts, and Raw Evidence</x:v>
      </x:c>
      <x:c r="L1" s="23" t="str">
        <x:v>Golden Replay — Visible Target, P-256-Sealed Governor Facts, and Raw Evidence</x:v>
      </x:c>
      <x:c r="M1" s="23" t="str">
        <x:v>Golden Replay — Visible Target, P-256-Sealed Governor Facts, and Raw Evidence</x:v>
      </x:c>
      <x:c r="N1" s="23" t="str">
        <x:v>Golden Replay — Visible Target, P-256-Sealed Governor Facts, and Raw Evidence</x:v>
      </x:c>
      <x:c r="O1" s="23" t="str">
        <x:v>Golden Replay — Visible Target, P-256-Sealed Governor Facts, and Raw Evidence</x:v>
      </x:c>
      <x:c r="P1" s="23" t="str">
        <x:v>Golden Replay — Visible Target, P-256-Sealed Governor Facts, and Raw Evidence</x:v>
      </x:c>
      <x:c r="Q1" s="24"/>
      <x:c r="R1" s="24"/>
      <x:c r="S1" s="24"/>
      <x:c r="T1" s="24"/>
      <x:c r="U1" s="24"/>
      <x:c r="V1" s="24"/>
      <x:c r="W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</x:row>
    <x:row r="3">
      <x:c r="A3" s="26" t="str">
        <x:v>Target</x:v>
      </x:c>
      <x:c r="B3" s="26" t="str">
        <x:v>Value</x:v>
      </x:c>
      <x:c r="C3" s="24"/>
      <x:c r="D3" s="26" t="str">
        <x:v>Governor receipt field</x:v>
      </x:c>
      <x:c r="E3" s="26" t="str">
        <x:v>Sealed value</x:v>
      </x:c>
      <x:c r="F3" s="24"/>
      <x:c r="G3" s="26" t="str">
        <x:v>Signed governor seal</x:v>
      </x:c>
      <x:c r="H3" s="26" t="str">
        <x:v>Bound value</x:v>
      </x:c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</x:row>
    <x:row r="4">
      <x:c r="A4" s="27" t="str">
        <x:v>Event</x:v>
      </x:c>
      <x:c r="B4" s="27" t="str">
        <x:v>underhand</x:v>
      </x:c>
      <x:c r="C4" s="24"/>
      <x:c r="D4" s="27" t="str">
        <x:v>Cutoff UTC</x:v>
      </x:c>
      <x:c r="E4" s="29" t="n">
        <x:v>46263.5</x:v>
      </x:c>
      <x:c r="F4" s="24"/>
      <x:c r="G4" s="27" t="str">
        <x:v>Signer key ID</x:v>
      </x:c>
      <x:c r="H4" s="27" t="str">
        <x:v>integrity-key:formula-test</x:v>
      </x:c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</x:row>
    <x:row r="5">
      <x:c r="A5" s="27" t="str">
        <x:v>Diameter mm</x:v>
      </x:c>
      <x:c r="B5" s="27" t="n">
        <x:v>300</x:v>
      </x:c>
      <x:c r="C5" s="24"/>
      <x:c r="D5" s="27" t="str">
        <x:v>Active tournament</x:v>
      </x:c>
      <x:c r="E5" s="27" t="str">
        <x:v>show-a</x:v>
      </x:c>
      <x:c r="F5" s="24"/>
      <x:c r="G5" s="27" t="str">
        <x:v>Signed manifest body SHA-256</x:v>
      </x:c>
      <x:c r="H5" s="27" t="str">
        <x:v>152e1ad207952255eacc67b8278507829d2cdad23fe04a0fbc2f7a885f7fccb3</x:v>
      </x:c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</x:row>
    <x:row r="6">
      <x:c r="A6" s="27" t="str">
        <x:v>Material</x:v>
      </x:c>
      <x:c r="B6" s="27" t="str">
        <x:v>eucalyptus</x:v>
      </x:c>
      <x:c r="C6" s="24"/>
      <x:c r="D6" s="27" t="str">
        <x:v>Other authoritative</x:v>
      </x:c>
      <x:c r="E6" s="27" t="str">
        <x:v>authority-a</x:v>
      </x:c>
      <x:c r="F6" s="24"/>
      <x:c r="G6" s="27" t="str">
        <x:v>EvidencePacket SHA-256</x:v>
      </x:c>
      <x:c r="H6" s="27" t="str">
        <x:v>18e7c2b3e7ed1e945d9b89edfd591a7cfa8efcb19d69af4f82a064459af97735</x:v>
      </x:c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</x:row>
    <x:row r="7">
      <x:c r="A7" s="27" t="str">
        <x:v>Density kg/m3</x:v>
      </x:c>
      <x:c r="B7" s="27" t="n">
        <x:v>720</x:v>
      </x:c>
      <x:c r="C7" s="24"/>
      <x:c r="D7" s="27" t="str">
        <x:v>Legacy tournament</x:v>
      </x:c>
      <x:c r="E7" s="27" t="str">
        <x:v>legacy-a</x:v>
      </x:c>
      <x:c r="F7" s="24"/>
      <x:c r="G7" s="27" t="str">
        <x:v>Epoch content SHA-256</x:v>
      </x:c>
      <x:c r="H7" s="27" t="str">
        <x:v>9a37db8ae45d0118017df8ea5cc087f85b528d7d2b4983588fac7e8671b7c849</x:v>
      </x:c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</x:row>
    <x:row r="8">
      <x:c r="A8" s="24"/>
      <x:c r="B8" s="24"/>
      <x:c r="C8" s="24"/>
      <x:c r="D8" s="27" t="str">
        <x:v>Historical cutoff</x:v>
      </x:c>
      <x:c r="E8" s="27" t="str">
        <x:v>history:2026-08-01</x:v>
      </x:c>
      <x:c r="F8" s="24"/>
      <x:c r="G8" s="27" t="str">
        <x:v>Epoch maximum sequence</x:v>
      </x:c>
      <x:c r="H8" s="27" t="n">
        <x:v>3</x:v>
      </x:c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</x:row>
    <x:row r="9">
      <x:c r="A9" s="24"/>
      <x:c r="B9" s="24"/>
      <x:c r="C9" s="24"/>
      <x:c r="D9" s="27" t="str">
        <x:v>Tournament epoch</x:v>
      </x:c>
      <x:c r="E9" s="27" t="str">
        <x:v>epoch:9a37db8ae45d0118017df8ea5cc087f85b528d7d2b4983588fac7e8671b7c849</x:v>
      </x:c>
      <x:c r="F9" s="24"/>
      <x:c r="G9" s="27" t="str">
        <x:v>Epoch member-set SHA-256</x:v>
      </x:c>
      <x:c r="H9" s="27" t="str">
        <x:v>0ee19d6bb565873f5dd5be473563dc6cfd5a440ae6c97a6ae43f525a505b5093</x:v>
      </x:c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</x:row>
    <x:row r="10">
      <x:c r="A10" s="24"/>
      <x:c r="B10" s="24"/>
      <x:c r="C10" s="24"/>
      <x:c r="D10" s="27" t="str">
        <x:v>Receipt SHA-256</x:v>
      </x:c>
      <x:c r="E10" s="27" t="str">
        <x:v>924f418092da5b4c9507aa98f80a67114203387add5bbeb1c212a224aa74ab20</x:v>
      </x:c>
      <x:c r="F10" s="24"/>
      <x:c r="G10" s="27" t="str">
        <x:v>Seal algorithm</x:v>
      </x:c>
      <x:c r="H10" s="27" t="str">
        <x:v>ecdsa-p256-sha256</x:v>
      </x:c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</x:row>
    <x:row r="12">
      <x:c r="A12" s="26" t="str">
        <x:v>Seq</x:v>
      </x:c>
      <x:c r="B12" s="26" t="str">
        <x:v>Raw ms</x:v>
      </x:c>
      <x:c r="C12" s="26" t="str">
        <x:v>Event</x:v>
      </x:c>
      <x:c r="D12" s="26" t="str">
        <x:v>Diameter mm</x:v>
      </x:c>
      <x:c r="E12" s="26" t="str">
        <x:v>Material</x:v>
      </x:c>
      <x:c r="F12" s="26" t="str">
        <x:v>Density</x:v>
      </x:c>
      <x:c r="G12" s="26" t="str">
        <x:v>Occurred UTC</x:v>
      </x:c>
      <x:c r="H12" s="26" t="str">
        <x:v>Origin</x:v>
      </x:c>
      <x:c r="I12" s="26" t="str">
        <x:v>Tournament</x:v>
      </x:c>
      <x:c r="J12" s="26" t="str">
        <x:v>Result status</x:v>
      </x:c>
      <x:c r="K12" s="26" t="str">
        <x:v>Evidence ID</x:v>
      </x:c>
      <x:c r="L12" s="26" t="str">
        <x:v>Cutoff key</x:v>
      </x:c>
      <x:c r="M12" s="26" t="str">
        <x:v>Sealed max seq</x:v>
      </x:c>
      <x:c r="N12" s="26" t="str">
        <x:v>Source SHA-256</x:v>
      </x:c>
      <x:c r="O12" s="26" t="str">
        <x:v>Result key</x:v>
      </x:c>
      <x:c r="P12" s="26" t="str">
        <x:v>Result revision</x:v>
      </x:c>
      <x:c r="Q12" s="24"/>
      <x:c r="R12" s="24"/>
      <x:c r="S12" s="24"/>
      <x:c r="T12" s="24"/>
      <x:c r="U12" s="24"/>
      <x:c r="V12" s="24"/>
      <x:c r="W12" s="24"/>
    </x:row>
    <x:row r="13">
      <x:c r="A13" s="27" t="n">
        <x:v>1</x:v>
      </x:c>
      <x:c r="B13" s="27" t="n">
        <x:v>38200</x:v>
      </x:c>
      <x:c r="C13" s="27" t="str">
        <x:v>underhand</x:v>
      </x:c>
      <x:c r="D13" s="27" t="n">
        <x:v>300</x:v>
      </x:c>
      <x:c r="E13" s="27" t="str">
        <x:v>eucalyptus</x:v>
      </x:c>
      <x:c r="F13" s="27" t="n">
        <x:v>720</x:v>
      </x:c>
      <x:c r="G13" s="29" t="n">
        <x:v>46263.5</x:v>
      </x:c>
      <x:c r="H13" s="27" t="str">
        <x:v>live_issued_race</x:v>
      </x:c>
      <x:c r="I13" s="27" t="str">
        <x:v>show-a</x:v>
      </x:c>
      <x:c r="J13" s="27" t="str">
        <x:v>completion</x:v>
      </x:c>
      <x:c r="K13" s="27" t="str">
        <x:v>evidence:result-1</x:v>
      </x:c>
      <x:c r="L13" s="27" t="str">
        <x:v>history:2026-08-01</x:v>
      </x:c>
      <x:c r="M13" s="27" t="n">
        <x:v>3</x:v>
      </x:c>
      <x:c r="N13" s="27" t="str">
        <x:v>0000000000000000000000000000000000000000000000000000000000000001</x:v>
      </x:c>
      <x:c r="O13" s="27" t="str">
        <x:v>result:ba68c257dab6ddf1c979b1aca34628c64ea8d165cd711001143ec01f31a58ae9</x:v>
      </x:c>
      <x:c r="P13" s="27" t="n">
        <x:v>1</x:v>
      </x:c>
      <x:c r="Q13" s="24"/>
      <x:c r="R13" s="24"/>
      <x:c r="S13" s="24"/>
      <x:c r="T13" s="24"/>
      <x:c r="U13" s="24"/>
      <x:c r="V13" s="24"/>
      <x:c r="W13" s="24"/>
    </x:row>
    <x:row r="14">
      <x:c r="A14" s="27" t="n">
        <x:v>2</x:v>
      </x:c>
      <x:c r="B14" s="27" t="n">
        <x:v>40100</x:v>
      </x:c>
      <x:c r="C14" s="27" t="str">
        <x:v>underhand</x:v>
      </x:c>
      <x:c r="D14" s="27" t="n">
        <x:v>275</x:v>
      </x:c>
      <x:c r="E14" s="27" t="str">
        <x:v>eucalyptus</x:v>
      </x:c>
      <x:c r="F14" s="27" t="n">
        <x:v>720</x:v>
      </x:c>
      <x:c r="G14" s="29" t="n">
        <x:v>45898.5</x:v>
      </x:c>
      <x:c r="H14" s="27" t="str">
        <x:v>historical_import</x:v>
      </x:c>
      <x:c r="I14" s="27" t="str">
        <x:v>authority-a</x:v>
      </x:c>
      <x:c r="J14" s="27" t="str">
        <x:v>completion</x:v>
      </x:c>
      <x:c r="K14" s="27" t="str">
        <x:v>evidence:result-2</x:v>
      </x:c>
      <x:c r="L14" s="27" t="str">
        <x:v>history:2026-08-01</x:v>
      </x:c>
      <x:c r="M14" s="27" t="n">
        <x:v>3</x:v>
      </x:c>
      <x:c r="N14" s="27" t="str">
        <x:v>0000000000000000000000000000000000000000000000000000000000000002</x:v>
      </x:c>
      <x:c r="O14" s="27" t="str">
        <x:v>result:c12f99cd4cbecd683bdb3d6c0898f0307d9aceb5a0f21f6a12f2579dec5f2259</x:v>
      </x:c>
      <x:c r="P14" s="27" t="n">
        <x:v>1</x:v>
      </x:c>
      <x:c r="Q14" s="24"/>
      <x:c r="R14" s="24"/>
      <x:c r="S14" s="24"/>
      <x:c r="T14" s="24"/>
      <x:c r="U14" s="24"/>
      <x:c r="V14" s="24"/>
      <x:c r="W14" s="24"/>
    </x:row>
    <x:row r="15">
      <x:c r="A15" s="27" t="n">
        <x:v>3</x:v>
      </x:c>
      <x:c r="B15" s="27" t="n">
        <x:v>36500</x:v>
      </x:c>
      <x:c r="C15" s="27" t="str">
        <x:v>standing_block</x:v>
      </x:c>
      <x:c r="D15" s="27" t="n">
        <x:v>300</x:v>
      </x:c>
      <x:c r="E15" s="27" t="str">
        <x:v>eucalyptus</x:v>
      </x:c>
      <x:c r="F15" s="27" t="n">
        <x:v>720</x:v>
      </x:c>
      <x:c r="G15" s="29" t="n">
        <x:v>45533.5</x:v>
      </x:c>
      <x:c r="H15" s="27" t="str">
        <x:v>live_issued_race</x:v>
      </x:c>
      <x:c r="I15" s="27" t="str">
        <x:v>legacy-a</x:v>
      </x:c>
      <x:c r="J15" s="27" t="str">
        <x:v>completion</x:v>
      </x:c>
      <x:c r="K15" s="27" t="str">
        <x:v>evidence:result-3</x:v>
      </x:c>
      <x:c r="L15" s="27" t="str">
        <x:v>history:2026-08-01</x:v>
      </x:c>
      <x:c r="M15" s="27" t="n">
        <x:v>3</x:v>
      </x:c>
      <x:c r="N15" s="27" t="str">
        <x:v>0000000000000000000000000000000000000000000000000000000000000003</x:v>
      </x:c>
      <x:c r="O15" s="27" t="str">
        <x:v>result:8397fc31ed467308cb9eeb8cd575c9479e35e0bb64888754643244037a6b6001</x:v>
      </x:c>
      <x:c r="P15" s="27" t="n">
        <x:v>1</x:v>
      </x:c>
      <x:c r="Q15" s="24"/>
      <x:c r="R15" s="24"/>
      <x:c r="S15" s="24"/>
      <x:c r="T15" s="24"/>
      <x:c r="U15" s="24"/>
      <x:c r="V15" s="24"/>
      <x:c r="W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68" hidden="0" customWidth="1"/>
    <x:col min="8" max="8" width="68" hidden="0" customWidth="1"/>
    <x:col min="9" max="9" width="68" hidden="0" customWidth="1"/>
    <x:col min="10" max="10" width="6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68" hidden="0" customWidth="1"/>
    <x:col min="17" max="17" width="68" hidden="0" customWidth="1"/>
  </x:cols>
  <x:sheetData>
    <x:row r="1" ht="30" customHeight="1">
      <x:c r="A1" s="23" t="str">
        <x:v>Signed Evidence Governor Projection — Caller Labels Are Not Accepted</x:v>
      </x:c>
      <x:c r="B1" s="23" t="str">
        <x:v>Signed Evidence Governor Projection — Caller Labels Are Not Accepted</x:v>
      </x:c>
      <x:c r="C1" s="23" t="str">
        <x:v>Signed Evidence Governor Projection — Caller Labels Are Not Accepted</x:v>
      </x:c>
      <x:c r="D1" s="23" t="str">
        <x:v>Signed Evidence Governor Projection — Caller Labels Are Not Accepted</x:v>
      </x:c>
      <x:c r="E1" s="23" t="str">
        <x:v>Signed Evidence Governor Projection — Caller Labels Are Not Accepted</x:v>
      </x:c>
      <x:c r="F1" s="23" t="str">
        <x:v>Signed Evidence Governor Projection — Caller Labels Are Not Accepted</x:v>
      </x:c>
      <x:c r="G1" s="23" t="str">
        <x:v>Signed Evidence Governor Projection — Caller Labels Are Not Accepted</x:v>
      </x:c>
      <x:c r="H1" s="23" t="str">
        <x:v>Signed Evidence Governor Projection — Caller Labels Are Not Accepted</x:v>
      </x:c>
      <x:c r="I1" s="23" t="str">
        <x:v>Signed Evidence Governor Projection — Caller Labels Are Not Accepted</x:v>
      </x:c>
      <x:c r="J1" s="23" t="str">
        <x:v>Signed Evidence Governor Projection — Caller Labels Are Not Accepted</x:v>
      </x:c>
      <x:c r="K1" s="23" t="str">
        <x:v>Signed Evidence Governor Projection — Caller Labels Are Not Accepted</x:v>
      </x:c>
      <x:c r="L1" s="23" t="str">
        <x:v>Signed Evidence Governor Projection — Caller Labels Are Not Accepted</x:v>
      </x:c>
      <x:c r="M1" s="23" t="str">
        <x:v>Signed Evidence Governor Projection — Caller Labels Are Not Accepted</x:v>
      </x:c>
      <x:c r="N1" s="23" t="str">
        <x:v>Signed Evidence Governor Projection — Caller Labels Are Not Accepted</x:v>
      </x:c>
      <x:c r="O1" s="23" t="str">
        <x:v>Signed Evidence Governor Projection — Caller Labels Are Not Accepted</x:v>
      </x:c>
      <x:c r="P1" s="23" t="str">
        <x:v>Signed Evidence Governor Projection — Caller Labels Are Not Accepted</x:v>
      </x:c>
      <x:c r="Q1" s="23" t="str">
        <x:v>Signed Evidence Governor Projection — Caller Labels Are Not Accepted</x:v>
      </x:c>
      <x:c r="R1" s="24"/>
      <x:c r="S1" s="24"/>
      <x:c r="T1" s="24"/>
      <x:c r="U1" s="24"/>
      <x:c r="V1" s="24"/>
      <x:c r="W1" s="24"/>
    </x:row>
    <x:row r="2" ht="34" customHeight="1">
      <x:c r="A2" s="30" t="str">
        <x:v>The externally trusted P-256 seal binds the exact packet, epoch identity/content/member set, cutoff, tournament authority, raw result, and admission provenance before Formula facts are derived.</x:v>
      </x:c>
      <x:c r="B2" s="30" t="str">
        <x:v>The externally trusted P-256 seal binds the exact packet, epoch identity/content/member set, cutoff, tournament authority, raw result, and admission provenance before Formula facts are derived.</x:v>
      </x:c>
      <x:c r="C2" s="30" t="str">
        <x:v>The externally trusted P-256 seal binds the exact packet, epoch identity/content/member set, cutoff, tournament authority, raw result, and admission provenance before Formula facts are derived.</x:v>
      </x:c>
      <x:c r="D2" s="30" t="str">
        <x:v>The externally trusted P-256 seal binds the exact packet, epoch identity/content/member set, cutoff, tournament authority, raw result, and admission provenance before Formula facts are derived.</x:v>
      </x:c>
      <x:c r="E2" s="30" t="str">
        <x:v>The externally trusted P-256 seal binds the exact packet, epoch identity/content/member set, cutoff, tournament authority, raw result, and admission provenance before Formula facts are derived.</x:v>
      </x:c>
      <x:c r="F2" s="30" t="str">
        <x:v>The externally trusted P-256 seal binds the exact packet, epoch identity/content/member set, cutoff, tournament authority, raw result, and admission provenance before Formula facts are derived.</x:v>
      </x:c>
      <x:c r="G2" s="30" t="str">
        <x:v>The externally trusted P-256 seal binds the exact packet, epoch identity/content/member set, cutoff, tournament authority, raw result, and admission provenance before Formula facts are derived.</x:v>
      </x:c>
      <x:c r="H2" s="30" t="str">
        <x:v>The externally trusted P-256 seal binds the exact packet, epoch identity/content/member set, cutoff, tournament authority, raw result, and admission provenance before Formula facts are derived.</x:v>
      </x:c>
      <x:c r="I2" s="30" t="str">
        <x:v>The externally trusted P-256 seal binds the exact packet, epoch identity/content/member set, cutoff, tournament authority, raw result, and admission provenance before Formula facts are derived.</x:v>
      </x:c>
      <x:c r="J2" s="30" t="str">
        <x:v>The externally trusted P-256 seal binds the exact packet, epoch identity/content/member set, cutoff, tournament authority, raw result, and admission provenance before Formula facts are derived.</x:v>
      </x:c>
      <x:c r="K2" s="30" t="str">
        <x:v>The externally trusted P-256 seal binds the exact packet, epoch identity/content/member set, cutoff, tournament authority, raw result, and admission provenance before Formula facts are derived.</x:v>
      </x:c>
      <x:c r="L2" s="30" t="str">
        <x:v>The externally trusted P-256 seal binds the exact packet, epoch identity/content/member set, cutoff, tournament authority, raw result, and admission provenance before Formula facts are derived.</x:v>
      </x:c>
      <x:c r="M2" s="30" t="str">
        <x:v>The externally trusted P-256 seal binds the exact packet, epoch identity/content/member set, cutoff, tournament authority, raw result, and admission provenance before Formula facts are derived.</x:v>
      </x:c>
      <x:c r="N2" s="30" t="str">
        <x:v>The externally trusted P-256 seal binds the exact packet, epoch identity/content/member set, cutoff, tournament authority, raw result, and admission provenance before Formula facts are derived.</x:v>
      </x:c>
      <x:c r="O2" s="30" t="str">
        <x:v>The externally trusted P-256 seal binds the exact packet, epoch identity/content/member set, cutoff, tournament authority, raw result, and admission provenance before Formula facts are derived.</x:v>
      </x:c>
      <x:c r="P2" s="30" t="str">
        <x:v>The externally trusted P-256 seal binds the exact packet, epoch identity/content/member set, cutoff, tournament authority, raw result, and admission provenance before Formula facts are derived.</x:v>
      </x:c>
      <x:c r="Q2" s="30" t="str">
        <x:v>The externally trusted P-256 seal binds the exact packet, epoch identity/content/member set, cutoff, tournament authority, raw result, and admission provenance before Formula facts are derived.</x:v>
      </x:c>
      <x:c r="R2" s="24"/>
      <x:c r="S2" s="24"/>
      <x:c r="T2" s="24"/>
      <x:c r="U2" s="24"/>
      <x:c r="V2" s="24"/>
      <x:c r="W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</x:row>
    <x:row r="4">
      <x:c r="A4" s="26" t="str">
        <x:v>Seq</x:v>
      </x:c>
      <x:c r="B4" s="26" t="str">
        <x:v>Evidence ID</x:v>
      </x:c>
      <x:c r="C4" s="26" t="str">
        <x:v>Age days</x:v>
      </x:c>
      <x:c r="D4" s="26" t="str">
        <x:v>Quality</x:v>
      </x:c>
      <x:c r="E4" s="26" t="str">
        <x:v>Tournament relevance</x:v>
      </x:c>
      <x:c r="F4" s="26" t="str">
        <x:v>Numeric eligible</x:v>
      </x:c>
      <x:c r="G4" s="26" t="str">
        <x:v>Source SHA-256</x:v>
      </x:c>
      <x:c r="H4" s="26" t="str">
        <x:v>Governor receipt SHA-256</x:v>
      </x:c>
      <x:c r="I4" s="26" t="str">
        <x:v>Admission reason</x:v>
      </x:c>
      <x:c r="J4" s="26" t="str">
        <x:v>Result key</x:v>
      </x:c>
      <x:c r="K4" s="26" t="str">
        <x:v>Revision</x:v>
      </x:c>
      <x:c r="L4" s="26" t="str">
        <x:v>Source seq</x:v>
      </x:c>
      <x:c r="M4" s="26" t="str">
        <x:v>Raw time ms</x:v>
      </x:c>
      <x:c r="N4" s="26" t="str">
        <x:v>Authority kind</x:v>
      </x:c>
      <x:c r="O4" s="26" t="str">
        <x:v>Epoch member bound</x:v>
      </x:c>
      <x:c r="P4" s="26" t="str">
        <x:v>Packet SHA-256</x:v>
      </x:c>
      <x:c r="Q4" s="26" t="str">
        <x:v>Signed body SHA-256</x:v>
      </x:c>
      <x:c r="R4" s="24"/>
      <x:c r="S4" s="24"/>
      <x:c r="T4" s="24"/>
      <x:c r="U4" s="24"/>
      <x:c r="V4" s="24"/>
      <x:c r="W4" s="24"/>
    </x:row>
    <x:row r="5">
      <x:c r="A5" s="28" t="n">
        <x:f>'Inputs'!A13</x:f>
        <x:v>1</x:v>
      </x:c>
      <x:c r="B5" s="28" t="str">
        <x:f>'Inputs'!K13</x:f>
        <x:v>evidence:result-1</x:v>
      </x:c>
      <x:c r="C5" s="31" t="n">
        <x:f>'Inputs'!$E$4-'Inputs'!G13</x:f>
        <x:v>0</x:v>
      </x:c>
      <x:c r="D5" s="28" t="str">
        <x:f>IF('Inputs'!H13="live_issued_race","issued_official","verified_historical")</x:f>
        <x:v>issued_official</x:v>
      </x:c>
      <x:c r="E5" s="28" t="str">
        <x:f>IF('Inputs'!I13='Inputs'!$E$5,"active",IF('Inputs'!I13='Inputs'!$E$6,"other_authoritative",IF('Inputs'!I13='Inputs'!$E$7,"legacy","REVIEW_BLOCKED")))</x:f>
        <x:v>active</x:v>
      </x:c>
      <x:c r="F5" s="28" t="n">
        <x:f>IF('Inputs'!J13="completion",1,0)</x:f>
        <x:v>1</x:v>
      </x:c>
      <x:c r="G5" s="28" t="str">
        <x:f>'Inputs'!N13</x:f>
        <x:v>0000000000000000000000000000000000000000000000000000000000000001</x:v>
      </x:c>
      <x:c r="H5" s="28" t="str">
        <x:f>'Inputs'!$E$10</x:f>
        <x:v>924f418092da5b4c9507aa98f80a67114203387add5bbeb1c212a224aa74ab20</x:v>
      </x:c>
      <x:c r="I5" s="28" t="str">
        <x:f>IF(F5=0,"status_ineligible",IF('Inputs'!H13="historical_import","historical_cutover","eligible_completion"))</x:f>
        <x:v>eligible_completion</x:v>
      </x:c>
      <x:c r="J5" s="28" t="str">
        <x:f>'Inputs'!O13</x:f>
        <x:v>result:ba68c257dab6ddf1c979b1aca34628c64ea8d165cd711001143ec01f31a58ae9</x:v>
      </x:c>
      <x:c r="K5" s="28" t="n">
        <x:f>'Inputs'!P13</x:f>
        <x:v>1</x:v>
      </x:c>
      <x:c r="L5" s="28" t="n">
        <x:f>'Inputs'!A13</x:f>
        <x:v>1</x:v>
      </x:c>
      <x:c r="M5" s="28" t="n">
        <x:f>'Inputs'!B13</x:f>
        <x:v>38200</x:v>
      </x:c>
      <x:c r="N5" s="28" t="str">
        <x:f>IF('Inputs'!H13="historical_import","historical_cutover","live_issued_field")</x:f>
        <x:v>live_issued_field</x:v>
      </x:c>
      <x:c r="O5" s="28" t="b">
        <x:f>AND(J5='Inputs'!O13,K5='Inputs'!P13,L5='Inputs'!A13,F5=1,'Inputs'!M13='Inputs'!$H$8)</x:f>
        <x:v>1</x:v>
      </x:c>
      <x:c r="P5" s="28" t="str">
        <x:f>'Inputs'!$H$6</x:f>
        <x:v>18e7c2b3e7ed1e945d9b89edfd591a7cfa8efcb19d69af4f82a064459af97735</x:v>
      </x:c>
      <x:c r="Q5" s="28" t="str">
        <x:f>'Inputs'!$H$5</x:f>
        <x:v>152e1ad207952255eacc67b8278507829d2cdad23fe04a0fbc2f7a885f7fccb3</x:v>
      </x:c>
      <x:c r="R5" s="24"/>
      <x:c r="S5" s="24"/>
      <x:c r="T5" s="24"/>
      <x:c r="U5" s="24"/>
      <x:c r="V5" s="24"/>
      <x:c r="W5" s="24"/>
    </x:row>
    <x:row r="6">
      <x:c r="A6" s="28" t="n">
        <x:f>'Inputs'!A14</x:f>
        <x:v>2</x:v>
      </x:c>
      <x:c r="B6" s="28" t="str">
        <x:f>'Inputs'!K14</x:f>
        <x:v>evidence:result-2</x:v>
      </x:c>
      <x:c r="C6" s="31" t="n">
        <x:f>'Inputs'!$E$4-'Inputs'!G14</x:f>
        <x:v>365</x:v>
      </x:c>
      <x:c r="D6" s="28" t="str">
        <x:f>IF('Inputs'!H14="live_issued_race","issued_official","verified_historical")</x:f>
        <x:v>verified_historical</x:v>
      </x:c>
      <x:c r="E6" s="28" t="str">
        <x:f>IF('Inputs'!I14='Inputs'!$E$5,"active",IF('Inputs'!I14='Inputs'!$E$6,"other_authoritative",IF('Inputs'!I14='Inputs'!$E$7,"legacy","REVIEW_BLOCKED")))</x:f>
        <x:v>other_authoritative</x:v>
      </x:c>
      <x:c r="F6" s="28" t="n">
        <x:f>IF('Inputs'!J14="completion",1,0)</x:f>
        <x:v>1</x:v>
      </x:c>
      <x:c r="G6" s="28" t="str">
        <x:f>'Inputs'!N14</x:f>
        <x:v>0000000000000000000000000000000000000000000000000000000000000002</x:v>
      </x:c>
      <x:c r="H6" s="28" t="str">
        <x:f>'Inputs'!$E$10</x:f>
        <x:v>924f418092da5b4c9507aa98f80a67114203387add5bbeb1c212a224aa74ab20</x:v>
      </x:c>
      <x:c r="I6" s="28" t="str">
        <x:f>IF(F6=0,"status_ineligible",IF('Inputs'!H14="historical_import","historical_cutover","eligible_completion"))</x:f>
        <x:v>historical_cutover</x:v>
      </x:c>
      <x:c r="J6" s="28" t="str">
        <x:f>'Inputs'!O14</x:f>
        <x:v>result:c12f99cd4cbecd683bdb3d6c0898f0307d9aceb5a0f21f6a12f2579dec5f2259</x:v>
      </x:c>
      <x:c r="K6" s="28" t="n">
        <x:f>'Inputs'!P14</x:f>
        <x:v>1</x:v>
      </x:c>
      <x:c r="L6" s="28" t="n">
        <x:f>'Inputs'!A14</x:f>
        <x:v>2</x:v>
      </x:c>
      <x:c r="M6" s="28" t="n">
        <x:f>'Inputs'!B14</x:f>
        <x:v>40100</x:v>
      </x:c>
      <x:c r="N6" s="28" t="str">
        <x:f>IF('Inputs'!H14="historical_import","historical_cutover","live_issued_field")</x:f>
        <x:v>historical_cutover</x:v>
      </x:c>
      <x:c r="O6" s="28" t="b">
        <x:f>AND(J6='Inputs'!O14,K6='Inputs'!P14,L6='Inputs'!A14,F6=1,'Inputs'!M14='Inputs'!$H$8)</x:f>
        <x:v>1</x:v>
      </x:c>
      <x:c r="P6" s="28" t="str">
        <x:f>'Inputs'!$H$6</x:f>
        <x:v>18e7c2b3e7ed1e945d9b89edfd591a7cfa8efcb19d69af4f82a064459af97735</x:v>
      </x:c>
      <x:c r="Q6" s="28" t="str">
        <x:f>'Inputs'!$H$5</x:f>
        <x:v>152e1ad207952255eacc67b8278507829d2cdad23fe04a0fbc2f7a885f7fccb3</x:v>
      </x:c>
      <x:c r="R6" s="24"/>
      <x:c r="S6" s="24"/>
      <x:c r="T6" s="24"/>
      <x:c r="U6" s="24"/>
      <x:c r="V6" s="24"/>
      <x:c r="W6" s="24"/>
    </x:row>
    <x:row r="7">
      <x:c r="A7" s="28" t="n">
        <x:f>'Inputs'!A15</x:f>
        <x:v>3</x:v>
      </x:c>
      <x:c r="B7" s="28" t="str">
        <x:f>'Inputs'!K15</x:f>
        <x:v>evidence:result-3</x:v>
      </x:c>
      <x:c r="C7" s="31" t="n">
        <x:f>'Inputs'!$E$4-'Inputs'!G15</x:f>
        <x:v>730</x:v>
      </x:c>
      <x:c r="D7" s="28" t="str">
        <x:f>IF('Inputs'!H15="live_issued_race","issued_official","verified_historical")</x:f>
        <x:v>issued_official</x:v>
      </x:c>
      <x:c r="E7" s="28" t="str">
        <x:f>IF('Inputs'!I15='Inputs'!$E$5,"active",IF('Inputs'!I15='Inputs'!$E$6,"other_authoritative",IF('Inputs'!I15='Inputs'!$E$7,"legacy","REVIEW_BLOCKED")))</x:f>
        <x:v>legacy</x:v>
      </x:c>
      <x:c r="F7" s="28" t="n">
        <x:f>IF('Inputs'!J15="completion",1,0)</x:f>
        <x:v>1</x:v>
      </x:c>
      <x:c r="G7" s="28" t="str">
        <x:f>'Inputs'!N15</x:f>
        <x:v>0000000000000000000000000000000000000000000000000000000000000003</x:v>
      </x:c>
      <x:c r="H7" s="28" t="str">
        <x:f>'Inputs'!$E$10</x:f>
        <x:v>924f418092da5b4c9507aa98f80a67114203387add5bbeb1c212a224aa74ab20</x:v>
      </x:c>
      <x:c r="I7" s="28" t="str">
        <x:f>IF(F7=0,"status_ineligible",IF('Inputs'!H15="historical_import","historical_cutover","eligible_completion"))</x:f>
        <x:v>eligible_completion</x:v>
      </x:c>
      <x:c r="J7" s="28" t="str">
        <x:f>'Inputs'!O15</x:f>
        <x:v>result:8397fc31ed467308cb9eeb8cd575c9479e35e0bb64888754643244037a6b6001</x:v>
      </x:c>
      <x:c r="K7" s="28" t="n">
        <x:f>'Inputs'!P15</x:f>
        <x:v>1</x:v>
      </x:c>
      <x:c r="L7" s="28" t="n">
        <x:f>'Inputs'!A15</x:f>
        <x:v>3</x:v>
      </x:c>
      <x:c r="M7" s="28" t="n">
        <x:f>'Inputs'!B15</x:f>
        <x:v>36500</x:v>
      </x:c>
      <x:c r="N7" s="28" t="str">
        <x:f>IF('Inputs'!H15="historical_import","historical_cutover","live_issued_field")</x:f>
        <x:v>live_issued_field</x:v>
      </x:c>
      <x:c r="O7" s="28" t="b">
        <x:f>AND(J7='Inputs'!O15,K7='Inputs'!P15,L7='Inputs'!A15,F7=1,'Inputs'!M15='Inputs'!$H$8)</x:f>
        <x:v>1</x:v>
      </x:c>
      <x:c r="P7" s="28" t="str">
        <x:f>'Inputs'!$H$6</x:f>
        <x:v>18e7c2b3e7ed1e945d9b89edfd591a7cfa8efcb19d69af4f82a064459af97735</x:v>
      </x:c>
      <x:c r="Q7" s="28" t="str">
        <x:f>'Inputs'!$H$5</x:f>
        <x:v>152e1ad207952255eacc67b8278507829d2cdad23fe04a0fbc2f7a885f7fccb3</x:v>
      </x:c>
      <x:c r="R7" s="24"/>
      <x:c r="S7" s="24"/>
      <x:c r="T7" s="24"/>
      <x:c r="U7" s="24"/>
      <x:c r="V7" s="24"/>
      <x:c r="W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0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 ht="30" customHeight="1">
      <x:c r="A1" s="23" t="str">
        <x:v>Target-Context Log-Seconds Transformation and Frozen Weight Ladder</x:v>
      </x:c>
      <x:c r="B1" s="23" t="str">
        <x:v>Target-Context Log-Seconds Transformation and Frozen Weight Ladder</x:v>
      </x:c>
      <x:c r="C1" s="23" t="str">
        <x:v>Target-Context Log-Seconds Transformation and Frozen Weight Ladder</x:v>
      </x:c>
      <x:c r="D1" s="23" t="str">
        <x:v>Target-Context Log-Seconds Transformation and Frozen Weight Ladder</x:v>
      </x:c>
      <x:c r="E1" s="23" t="str">
        <x:v>Target-Context Log-Seconds Transformation and Frozen Weight Ladder</x:v>
      </x:c>
      <x:c r="F1" s="23" t="str">
        <x:v>Target-Context Log-Seconds Transformation and Frozen Weight Ladder</x:v>
      </x:c>
      <x:c r="G1" s="23" t="str">
        <x:v>Target-Context Log-Seconds Transformation and Frozen Weight Ladder</x:v>
      </x:c>
      <x:c r="H1" s="23" t="str">
        <x:v>Target-Context Log-Seconds Transformation and Frozen Weight Ladder</x:v>
      </x:c>
      <x:c r="I1" s="23" t="str">
        <x:v>Target-Context Log-Seconds Transformation and Frozen Weight Ladder</x:v>
      </x:c>
      <x:c r="J1" s="23" t="str">
        <x:v>Target-Context Log-Seconds Transformation and Frozen Weight Ladder</x:v>
      </x:c>
      <x:c r="K1" s="23" t="str">
        <x:v>Target-Context Log-Seconds Transformation and Frozen Weight Ladder</x:v>
      </x:c>
      <x:c r="L1" s="23" t="str">
        <x:v>Target-Context Log-Seconds Transformation and Frozen Weight Ladder</x:v>
      </x:c>
      <x:c r="M1" s="23" t="str">
        <x:v>Target-Context Log-Seconds Transformation and Frozen Weight Ladder</x:v>
      </x:c>
      <x:c r="N1" s="23" t="str">
        <x:v>Target-Context Log-Seconds Transformation and Frozen Weight Ladder</x:v>
      </x:c>
      <x:c r="O1" s="23" t="str">
        <x:v>Target-Context Log-Seconds Transformation and Frozen Weight Ladder</x:v>
      </x:c>
      <x:c r="P1" s="23" t="str">
        <x:v>Target-Context Log-Seconds Transformation and Frozen Weight Ladder</x:v>
      </x:c>
      <x:c r="Q1" s="23" t="str">
        <x:v>Target-Context Log-Seconds Transformation and Frozen Weight Ladder</x:v>
      </x:c>
      <x:c r="R1" s="23" t="str">
        <x:v>Target-Context Log-Seconds Transformation and Frozen Weight Ladder</x:v>
      </x:c>
      <x:c r="S1" s="23" t="str">
        <x:v>Target-Context Log-Seconds Transformation and Frozen Weight Ladder</x:v>
      </x:c>
      <x:c r="T1" s="24"/>
      <x:c r="U1" s="24"/>
      <x:c r="V1" s="24"/>
      <x:c r="W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</x:row>
    <x:row r="3">
      <x:c r="A3" s="26" t="str">
        <x:v>Seq</x:v>
      </x:c>
      <x:c r="B3" s="26" t="str">
        <x:v>Raw ms</x:v>
      </x:c>
      <x:c r="C3" s="26" t="str">
        <x:v>Event factor</x:v>
      </x:c>
      <x:c r="D3" s="26" t="str">
        <x:v>Size factor</x:v>
      </x:c>
      <x:c r="E3" s="26" t="str">
        <x:v>Material factor</x:v>
      </x:c>
      <x:c r="F3" s="26" t="str">
        <x:v>Transformed seconds</x:v>
      </x:c>
      <x:c r="G3" s="26" t="str">
        <x:v>Log seconds</x:v>
      </x:c>
      <x:c r="H3" s="26" t="str">
        <x:v>Relation</x:v>
      </x:c>
      <x:c r="I3" s="26" t="str">
        <x:v>Context</x:v>
      </x:c>
      <x:c r="J3" s="26" t="str">
        <x:v>Diameter similarity</x:v>
      </x:c>
      <x:c r="K3" s="26" t="str">
        <x:v>Recency</x:v>
      </x:c>
      <x:c r="L3" s="26" t="str">
        <x:v>Quality</x:v>
      </x:c>
      <x:c r="M3" s="26" t="str">
        <x:v>Tournament</x:v>
      </x:c>
      <x:c r="N3" s="26" t="str">
        <x:v>Conversion variance</x:v>
      </x:c>
      <x:c r="O3" s="26" t="str">
        <x:v>Weight</x:v>
      </x:c>
      <x:c r="P3" s="26" t="str">
        <x:v>Supported</x:v>
      </x:c>
      <x:c r="Q3" s="26" t="str">
        <x:v>Source diameter</x:v>
      </x:c>
      <x:c r="R3" s="26" t="str">
        <x:v>Target diameter</x:v>
      </x:c>
      <x:c r="S3" s="26" t="str">
        <x:v>Robust residual contribution</x:v>
      </x:c>
      <x:c r="T3" s="24"/>
      <x:c r="U3" s="24"/>
      <x:c r="V3" s="24"/>
      <x:c r="W3" s="24"/>
    </x:row>
    <x:row r="4">
      <x:c r="A4" s="28" t="n">
        <x:f>'Inputs'!A13</x:f>
        <x:v>1</x:v>
      </x:c>
      <x:c r="B4" s="28" t="n">
        <x:f>'Inputs'!B13</x:f>
        <x:v>38200</x:v>
      </x:c>
      <x:c r="C4" s="32" t="n">
        <x:f>IF('Inputs'!C13='Inputs'!$B$4,1,VLOOKUP('Inputs'!$B$4,'Assumptions'!$D$5:$G$7,2,FALSE)/VLOOKUP('Inputs'!C13,'Assumptions'!$D$5:$G$7,2,FALSE))</x:f>
        <x:v>1</x:v>
      </x:c>
      <x:c r="D4" s="32" t="n">
        <x:f>('Inputs'!$B$5/'Inputs'!D13)^VLOOKUP('Inputs'!$B$4,'Assumptions'!$D$5:$G$7,3,FALSE)</x:f>
        <x:v>1</x:v>
      </x:c>
      <x:c r="E4" s="32" t="n">
        <x:f>IF('Inputs'!E13='Inputs'!$B$6,1,('Inputs'!$B$7/'Inputs'!F13)^'Assumptions'!$B$20)</x:f>
        <x:v>1</x:v>
      </x:c>
      <x:c r="F4" s="32" t="n">
        <x:f>B4/1000*C4*D4*E4</x:f>
        <x:v>38.2</x:v>
      </x:c>
      <x:c r="G4" s="32" t="n">
        <x:f>LN(F4)</x:f>
        <x:v>3.6428355156125294</x:v>
      </x:c>
      <x:c r="H4" s="32" t="str">
        <x:f>IF('Inputs'!C13='Inputs'!$B$4,"exact_event",IF(VLOOKUP('Inputs'!C13,'Assumptions'!$D$5:$G$7,4,FALSE)=VLOOKUP('Inputs'!$B$4,'Assumptions'!$D$5:$G$7,4,FALSE),"same_discipline","cross_discipline"))</x:f>
        <x:v>exact_event</x:v>
      </x:c>
      <x:c r="I4" s="32" t="n">
        <x:f>IF(AND(H4="exact_event",'Inputs'!D13='Inputs'!$B$5,'Inputs'!E13='Inputs'!$B$6),'Assumptions'!$B$10,IF(OR(H4="exact_event",H4="same_discipline"),'Assumptions'!$B$11,'Assumptions'!$B$12))</x:f>
        <x:v>1</x:v>
      </x:c>
      <x:c r="J4" s="32" t="n">
        <x:f>EXP(-'Assumptions'!$B$13*ABS(LN('Inputs'!D13/'Inputs'!$B$5)))</x:f>
        <x:v>1</x:v>
      </x:c>
      <x:c r="K4" s="32" t="n">
        <x:f>2^(-'Governor Projection'!C5/'Assumptions'!$B$14)</x:f>
        <x:v>1</x:v>
      </x:c>
      <x:c r="L4" s="32" t="n">
        <x:f>IF('Governor Projection'!D5="issued_official",'Assumptions'!$B$15,'Assumptions'!$B$16)</x:f>
        <x:v>1</x:v>
      </x:c>
      <x:c r="M4" s="32" t="n">
        <x:f>IF('Governor Projection'!E5="active",'Assumptions'!$B$17,IF('Governor Projection'!E5="other_authoritative",'Assumptions'!$B$18,'Assumptions'!$B$19))</x:f>
        <x:v>1</x:v>
      </x:c>
      <x:c r="N4" s="32" t="n">
        <x:f>IF(H4="same_discipline",'Assumptions'!$E$11,IF(H4="cross_discipline",'Assumptions'!$E$12,0))+('Assumptions'!$E$13*ABS(LN('Inputs'!D13/'Inputs'!$B$5)))^2+('Assumptions'!$E$14*ABS(LN(E4)))^2</x:f>
        <x:v>0</x:v>
      </x:c>
      <x:c r="O4" s="32" t="n">
        <x:f>I4*J4*K4*L4*M4/(1+N4)</x:f>
        <x:v>1</x:v>
      </x:c>
      <x:c r="P4" s="28" t="n">
        <x:f>'Governor Projection'!F5</x:f>
        <x:v>1</x:v>
      </x:c>
      <x:c r="Q4" s="28" t="n">
        <x:f>'Inputs'!D13</x:f>
        <x:v>300</x:v>
      </x:c>
      <x:c r="R4" s="28" t="n">
        <x:f>'Inputs'!$B$5</x:f>
        <x:v>300</x:v>
      </x:c>
      <x:c r="S4" s="28" t="n">
        <x:f>O4*MIN(ABS(G4-'Distribution'!$B$4),'Assumptions'!$B$5*'IRLS Trace'!$T$13)^2</x:f>
        <x:v>0.0056250000000000015</x:v>
      </x:c>
      <x:c r="T4" s="24"/>
      <x:c r="U4" s="24"/>
      <x:c r="V4" s="24"/>
      <x:c r="W4" s="24"/>
    </x:row>
    <x:row r="5">
      <x:c r="A5" s="28" t="n">
        <x:f>'Inputs'!A14</x:f>
        <x:v>2</x:v>
      </x:c>
      <x:c r="B5" s="28" t="n">
        <x:f>'Inputs'!B14</x:f>
        <x:v>40100</x:v>
      </x:c>
      <x:c r="C5" s="32" t="n">
        <x:f>IF('Inputs'!C14='Inputs'!$B$4,1,VLOOKUP('Inputs'!$B$4,'Assumptions'!$D$5:$G$7,2,FALSE)/VLOOKUP('Inputs'!C14,'Assumptions'!$D$5:$G$7,2,FALSE))</x:f>
        <x:v>1</x:v>
      </x:c>
      <x:c r="D5" s="32" t="n">
        <x:f>('Inputs'!$B$5/'Inputs'!D14)^VLOOKUP('Inputs'!$B$4,'Assumptions'!$D$5:$G$7,3,FALSE)</x:f>
        <x:v>1.190082644628099</x:v>
      </x:c>
      <x:c r="E5" s="32" t="n">
        <x:f>IF('Inputs'!E14='Inputs'!$B$6,1,('Inputs'!$B$7/'Inputs'!F14)^'Assumptions'!$B$20)</x:f>
        <x:v>1</x:v>
      </x:c>
      <x:c r="F5" s="32" t="n">
        <x:f>B5/1000*C5*D5*E5</x:f>
        <x:v>47.72231404958677</x:v>
      </x:c>
      <x:c r="G5" s="32" t="n">
        <x:f>LN(F5)</x:f>
        <x:v>3.865399088291783</x:v>
      </x:c>
      <x:c r="H5" s="32" t="str">
        <x:f>IF('Inputs'!C14='Inputs'!$B$4,"exact_event",IF(VLOOKUP('Inputs'!C14,'Assumptions'!$D$5:$G$7,4,FALSE)=VLOOKUP('Inputs'!$B$4,'Assumptions'!$D$5:$G$7,4,FALSE),"same_discipline","cross_discipline"))</x:f>
        <x:v>exact_event</x:v>
      </x:c>
      <x:c r="I5" s="32" t="n">
        <x:f>IF(AND(H5="exact_event",'Inputs'!D14='Inputs'!$B$5,'Inputs'!E14='Inputs'!$B$6),'Assumptions'!$B$10,IF(OR(H5="exact_event",H5="same_discipline"),'Assumptions'!$B$11,'Assumptions'!$B$12))</x:f>
        <x:v>0.6</x:v>
      </x:c>
      <x:c r="J5" s="32" t="n">
        <x:f>EXP(-'Assumptions'!$B$13*ABS(LN('Inputs'!D14/'Inputs'!$B$5)))</x:f>
        <x:v>0.8402777777777777</x:v>
      </x:c>
      <x:c r="K5" s="32" t="n">
        <x:f>2^(-'Governor Projection'!C6/'Assumptions'!$B$14)</x:f>
        <x:v>0.7071067811865476</x:v>
      </x:c>
      <x:c r="L5" s="32" t="n">
        <x:f>IF('Governor Projection'!D6="issued_official",'Assumptions'!$B$15,'Assumptions'!$B$16)</x:f>
        <x:v>0.85</x:v>
      </x:c>
      <x:c r="M5" s="32" t="n">
        <x:f>IF('Governor Projection'!E6="active",'Assumptions'!$B$17,IF('Governor Projection'!E6="other_authoritative",'Assumptions'!$B$18,'Assumptions'!$B$19))</x:f>
        <x:v>0.9</x:v>
      </x:c>
      <x:c r="N5" s="32" t="n">
        <x:f>IF(H5="same_discipline",'Assumptions'!$E$11,IF(H5="cross_discipline",'Assumptions'!$E$12,0))+('Assumptions'!$E$13*ABS(LN('Inputs'!D14/'Inputs'!$B$5)))^2+('Assumptions'!$E$14*ABS(LN(E5)))^2</x:f>
        <x:v>0.00017034704382670832</x:v>
      </x:c>
      <x:c r="O5" s="32" t="n">
        <x:f>I5*J5*K5*L5*M5/(1+N5)</x:f>
        <x:v>0.2726757971529184</x:v>
      </x:c>
      <x:c r="P5" s="28" t="n">
        <x:f>'Governor Projection'!F6</x:f>
        <x:v>1</x:v>
      </x:c>
      <x:c r="Q5" s="28" t="n">
        <x:f>'Inputs'!D14</x:f>
        <x:v>275</x:v>
      </x:c>
      <x:c r="R5" s="28" t="n">
        <x:f>'Inputs'!$B$5</x:f>
        <x:v>300</x:v>
      </x:c>
      <x:c r="S5" s="28" t="n">
        <x:f>O5*MIN(ABS(G5-'Distribution'!$B$4),'Assumptions'!$B$5*'IRLS Trace'!$T$13)^2</x:f>
        <x:v>0.0015338013589851665</x:v>
      </x:c>
      <x:c r="T5" s="24"/>
      <x:c r="U5" s="24"/>
      <x:c r="V5" s="24"/>
      <x:c r="W5" s="24"/>
    </x:row>
    <x:row r="6">
      <x:c r="A6" s="28" t="n">
        <x:f>'Inputs'!A15</x:f>
        <x:v>3</x:v>
      </x:c>
      <x:c r="B6" s="28" t="n">
        <x:f>'Inputs'!B15</x:f>
        <x:v>36500</x:v>
      </x:c>
      <x:c r="C6" s="32" t="n">
        <x:f>IF('Inputs'!C15='Inputs'!$B$4,1,VLOOKUP('Inputs'!$B$4,'Assumptions'!$D$5:$G$7,2,FALSE)/VLOOKUP('Inputs'!C15,'Assumptions'!$D$5:$G$7,2,FALSE))</x:f>
        <x:v>0.9259259259259258</x:v>
      </x:c>
      <x:c r="D6" s="32" t="n">
        <x:f>('Inputs'!$B$5/'Inputs'!D15)^VLOOKUP('Inputs'!$B$4,'Assumptions'!$D$5:$G$7,3,FALSE)</x:f>
        <x:v>1</x:v>
      </x:c>
      <x:c r="E6" s="32" t="n">
        <x:f>IF('Inputs'!E15='Inputs'!$B$6,1,('Inputs'!$B$7/'Inputs'!F15)^'Assumptions'!$B$20)</x:f>
        <x:v>1</x:v>
      </x:c>
      <x:c r="F6" s="32" t="n">
        <x:f>B6/1000*C6*D6*E6</x:f>
        <x:v>33.79629629629629</x:v>
      </x:c>
      <x:c r="G6" s="32" t="n">
        <x:f>LN(F6)</x:f>
        <x:v>3.5203512194523174</x:v>
      </x:c>
      <x:c r="H6" s="32" t="str">
        <x:f>IF('Inputs'!C15='Inputs'!$B$4,"exact_event",IF(VLOOKUP('Inputs'!C15,'Assumptions'!$D$5:$G$7,4,FALSE)=VLOOKUP('Inputs'!$B$4,'Assumptions'!$D$5:$G$7,4,FALSE),"same_discipline","cross_discipline"))</x:f>
        <x:v>same_discipline</x:v>
      </x:c>
      <x:c r="I6" s="32" t="n">
        <x:f>IF(AND(H6="exact_event",'Inputs'!D15='Inputs'!$B$5,'Inputs'!E15='Inputs'!$B$6),'Assumptions'!$B$10,IF(OR(H6="exact_event",H6="same_discipline"),'Assumptions'!$B$11,'Assumptions'!$B$12))</x:f>
        <x:v>0.6</x:v>
      </x:c>
      <x:c r="J6" s="32" t="n">
        <x:f>EXP(-'Assumptions'!$B$13*ABS(LN('Inputs'!D15/'Inputs'!$B$5)))</x:f>
        <x:v>1</x:v>
      </x:c>
      <x:c r="K6" s="32" t="n">
        <x:f>2^(-'Governor Projection'!C7/'Assumptions'!$B$14)</x:f>
        <x:v>0.5</x:v>
      </x:c>
      <x:c r="L6" s="32" t="n">
        <x:f>IF('Governor Projection'!D7="issued_official",'Assumptions'!$B$15,'Assumptions'!$B$16)</x:f>
        <x:v>1</x:v>
      </x:c>
      <x:c r="M6" s="32" t="n">
        <x:f>IF('Governor Projection'!E7="active",'Assumptions'!$B$17,IF('Governor Projection'!E7="other_authoritative",'Assumptions'!$B$18,'Assumptions'!$B$19))</x:f>
        <x:v>0.75</x:v>
      </x:c>
      <x:c r="N6" s="32" t="n">
        <x:f>IF(H6="same_discipline",'Assumptions'!$E$11,IF(H6="cross_discipline",'Assumptions'!$E$12,0))+('Assumptions'!$E$13*ABS(LN('Inputs'!D15/'Inputs'!$B$5)))^2+('Assumptions'!$E$14*ABS(LN(E6)))^2</x:f>
        <x:v>0.01</x:v>
      </x:c>
      <x:c r="O6" s="32" t="n">
        <x:f>I6*J6*K6*L6*M6/(1+N6)</x:f>
        <x:v>0.22277227722772275</x:v>
      </x:c>
      <x:c r="P6" s="28" t="n">
        <x:f>'Governor Projection'!F7</x:f>
        <x:v>1</x:v>
      </x:c>
      <x:c r="Q6" s="28" t="n">
        <x:f>'Inputs'!D15</x:f>
        <x:v>300</x:v>
      </x:c>
      <x:c r="R6" s="28" t="n">
        <x:f>'Inputs'!$B$5</x:f>
        <x:v>300</x:v>
      </x:c>
      <x:c r="S6" s="28" t="n">
        <x:f>O6*MIN(ABS(G6-'Distribution'!$B$4),'Assumptions'!$B$5*'IRLS Trace'!$T$13)^2</x:f>
        <x:v>0.0012530940594059408</x:v>
      </x:c>
      <x:c r="T6" s="24"/>
      <x:c r="U6" s="24"/>
      <x:c r="V6" s="24"/>
      <x:c r="W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</x:row>
  </x:sheetData>
  <x:mergeCells>
    <x:mergeCell ref="A1:S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8" hidden="0" customWidth="1"/>
    <x:col min="23" max="23" width="18" hidden="0" customWidth="1"/>
  </x:cols>
  <x:sheetData>
    <x:row r="1" ht="30" customHeight="1">
      <x:c r="A1" s="23" t="str">
        <x:v>Weighted Median/MAD Initialization and Every Huber IRLS Iteration</x:v>
      </x:c>
      <x:c r="B1" s="23" t="str">
        <x:v>Weighted Median/MAD Initialization and Every Huber IRLS Iteration</x:v>
      </x:c>
      <x:c r="C1" s="23" t="str">
        <x:v>Weighted Median/MAD Initialization and Every Huber IRLS Iteration</x:v>
      </x:c>
      <x:c r="D1" s="23" t="str">
        <x:v>Weighted Median/MAD Initialization and Every Huber IRLS Iteration</x:v>
      </x:c>
      <x:c r="E1" s="23" t="str">
        <x:v>Weighted Median/MAD Initialization and Every Huber IRLS Iteration</x:v>
      </x:c>
      <x:c r="F1" s="23" t="str">
        <x:v>Weighted Median/MAD Initialization and Every Huber IRLS Iteration</x:v>
      </x:c>
      <x:c r="G1" s="23" t="str">
        <x:v>Weighted Median/MAD Initialization and Every Huber IRLS Iteration</x:v>
      </x:c>
      <x:c r="H1" s="23" t="str">
        <x:v>Weighted Median/MAD Initialization and Every Huber IRLS Iteration</x:v>
      </x:c>
      <x:c r="I1" s="23" t="str">
        <x:v>Weighted Median/MAD Initialization and Every Huber IRLS Iteration</x:v>
      </x:c>
      <x:c r="J1" s="23" t="str">
        <x:v>Weighted Median/MAD Initialization and Every Huber IRLS Iteration</x:v>
      </x:c>
      <x:c r="K1" s="23" t="str">
        <x:v>Weighted Median/MAD Initialization and Every Huber IRLS Iteration</x:v>
      </x:c>
      <x:c r="L1" s="23" t="str">
        <x:v>Weighted Median/MAD Initialization and Every Huber IRLS Iteration</x:v>
      </x:c>
      <x:c r="M1" s="23" t="str">
        <x:v>Weighted Median/MAD Initialization and Every Huber IRLS Iteration</x:v>
      </x:c>
      <x:c r="N1" s="23" t="str">
        <x:v>Weighted Median/MAD Initialization and Every Huber IRLS Iteration</x:v>
      </x:c>
      <x:c r="O1" s="23" t="str">
        <x:v>Weighted Median/MAD Initialization and Every Huber IRLS Iteration</x:v>
      </x:c>
      <x:c r="P1" s="23" t="str">
        <x:v>Weighted Median/MAD Initialization and Every Huber IRLS Iteration</x:v>
      </x:c>
      <x:c r="Q1" s="23" t="str">
        <x:v>Weighted Median/MAD Initialization and Every Huber IRLS Iteration</x:v>
      </x:c>
      <x:c r="R1" s="23" t="str">
        <x:v>Weighted Median/MAD Initialization and Every Huber IRLS Iteration</x:v>
      </x:c>
      <x:c r="S1" s="23" t="str">
        <x:v>Weighted Median/MAD Initialization and Every Huber IRLS Iteration</x:v>
      </x:c>
      <x:c r="T1" s="23" t="str">
        <x:v>Weighted Median/MAD Initialization and Every Huber IRLS Iteration</x:v>
      </x:c>
      <x:c r="U1" s="23" t="str">
        <x:v>Weighted Median/MAD Initialization and Every Huber IRLS Iteration</x:v>
      </x:c>
      <x:c r="V1" s="23" t="str">
        <x:v>Weighted Median/MAD Initialization and Every Huber IRLS Iteration</x:v>
      </x:c>
      <x:c r="W1" s="23" t="str">
        <x:v>Weighted Median/MAD Initialization and Every Huber IRLS Iteration</x:v>
      </x:c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</x:row>
    <x:row r="3">
      <x:c r="A3" s="26" t="str">
        <x:v>Candidate</x:v>
      </x:c>
      <x:c r="B3" s="26" t="str">
        <x:v>Log seconds</x:v>
      </x:c>
      <x:c r="C3" s="26" t="str">
        <x:v>Base weight</x:v>
      </x:c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6" t="str">
        <x:v>Sorted value</x:v>
      </x:c>
      <x:c r="T3" s="26" t="str">
        <x:v>Sorted weight</x:v>
      </x:c>
      <x:c r="U3" s="26" t="str">
        <x:v>Cumulative weight</x:v>
      </x:c>
      <x:c r="V3" s="24"/>
      <x:c r="W3" s="24"/>
    </x:row>
    <x:row r="4">
      <x:c r="A4" s="28" t="str">
        <x:v>prior-1</x:v>
      </x:c>
      <x:c r="B4" s="32" t="n">
        <x:f>LN('Assumptions'!$I$18)</x:f>
        <x:v>3.8066624897703196</x:v>
      </x:c>
      <x:c r="C4" s="32" t="n">
        <x:f>'Assumptions'!$P$6/'Assumptions'!$P$6</x:f>
        <x:v>1</x:v>
      </x:c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 t="n">
        <x:f>SMALL($B$4:$B$9,ROW()-3)</x:f>
        <x:v>3.5203512194523174</x:v>
      </x:c>
      <x:c r="T4" s="33" t="n">
        <x:f>SUMIF($B$4:$B$9,S4,$C$4:$C$9)/COUNTIF($B$4:$B$9,S4)</x:f>
        <x:v>0.22277227722772275</x:v>
      </x:c>
      <x:c r="U4" s="33" t="n">
        <x:f>SUM($T$4:T4)</x:f>
        <x:v>0.22277227722772275</x:v>
      </x:c>
      <x:c r="V4" s="33"/>
      <x:c r="W4" s="33"/>
    </x:row>
    <x:row r="5">
      <x:c r="A5" s="28" t="str">
        <x:v>prior-2</x:v>
      </x:c>
      <x:c r="B5" s="32" t="n">
        <x:f>LN('Assumptions'!$I$18)</x:f>
        <x:v>3.8066624897703196</x:v>
      </x:c>
      <x:c r="C5" s="32" t="n">
        <x:f>'Assumptions'!$P$6/'Assumptions'!$P$6</x:f>
        <x:v>1</x:v>
      </x:c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 t="n">
        <x:f>SMALL($B$4:$B$9,ROW()-3)</x:f>
        <x:v>3.6428355156125294</x:v>
      </x:c>
      <x:c r="T5" s="33" t="n">
        <x:f>SUMIF($B$4:$B$9,S5,$C$4:$C$9)/COUNTIF($B$4:$B$9,S5)</x:f>
        <x:v>1</x:v>
      </x:c>
      <x:c r="U5" s="33" t="n">
        <x:f>SUM($T$4:T5)</x:f>
        <x:v>1.2227722772277227</x:v>
      </x:c>
      <x:c r="V5" s="33"/>
      <x:c r="W5" s="33"/>
    </x:row>
    <x:row r="6">
      <x:c r="A6" s="28" t="str">
        <x:v>prior-3</x:v>
      </x:c>
      <x:c r="B6" s="32" t="n">
        <x:f>LN('Assumptions'!$I$18)</x:f>
        <x:v>3.8066624897703196</x:v>
      </x:c>
      <x:c r="C6" s="32" t="n">
        <x:f>'Assumptions'!$P$6/'Assumptions'!$P$6</x:f>
        <x:v>1</x:v>
      </x:c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 t="n">
        <x:f>SMALL($B$4:$B$9,ROW()-3)</x:f>
        <x:v>3.8066624897703196</x:v>
      </x:c>
      <x:c r="T6" s="33" t="n">
        <x:f>SUMIF($B$4:$B$9,S6,$C$4:$C$9)/COUNTIF($B$4:$B$9,S6)</x:f>
        <x:v>1</x:v>
      </x:c>
      <x:c r="U6" s="33" t="n">
        <x:f>SUM($T$4:T6)</x:f>
        <x:v>2.2227722772277225</x:v>
      </x:c>
      <x:c r="V6" s="33"/>
      <x:c r="W6" s="33"/>
    </x:row>
    <x:row r="7">
      <x:c r="A7" s="28" t="str">
        <x:v>evidence-1</x:v>
      </x:c>
      <x:c r="B7" s="32" t="n">
        <x:f>'Transforms'!G4</x:f>
        <x:v>3.6428355156125294</x:v>
      </x:c>
      <x:c r="C7" s="32" t="n">
        <x:f>'Transforms'!O4</x:f>
        <x:v>1</x:v>
      </x:c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 t="n">
        <x:f>SMALL($B$4:$B$9,ROW()-3)</x:f>
        <x:v>3.8066624897703196</x:v>
      </x:c>
      <x:c r="T7" s="33" t="n">
        <x:f>SUMIF($B$4:$B$9,S7,$C$4:$C$9)/COUNTIF($B$4:$B$9,S7)</x:f>
        <x:v>1</x:v>
      </x:c>
      <x:c r="U7" s="33" t="n">
        <x:f>SUM($T$4:T7)</x:f>
        <x:v>3.2227722772277225</x:v>
      </x:c>
      <x:c r="V7" s="33"/>
      <x:c r="W7" s="33"/>
    </x:row>
    <x:row r="8">
      <x:c r="A8" s="28" t="str">
        <x:v>evidence-2</x:v>
      </x:c>
      <x:c r="B8" s="32" t="n">
        <x:f>'Transforms'!G5</x:f>
        <x:v>3.865399088291783</x:v>
      </x:c>
      <x:c r="C8" s="32" t="n">
        <x:f>'Transforms'!O5</x:f>
        <x:v>0.2726757971529184</x:v>
      </x:c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 t="n">
        <x:f>SMALL($B$4:$B$9,ROW()-3)</x:f>
        <x:v>3.8066624897703196</x:v>
      </x:c>
      <x:c r="T8" s="33" t="n">
        <x:f>SUMIF($B$4:$B$9,S8,$C$4:$C$9)/COUNTIF($B$4:$B$9,S8)</x:f>
        <x:v>1</x:v>
      </x:c>
      <x:c r="U8" s="33" t="n">
        <x:f>SUM($T$4:T8)</x:f>
        <x:v>4.2227722772277225</x:v>
      </x:c>
      <x:c r="V8" s="33"/>
      <x:c r="W8" s="33"/>
    </x:row>
    <x:row r="9">
      <x:c r="A9" s="28" t="str">
        <x:v>evidence-3</x:v>
      </x:c>
      <x:c r="B9" s="32" t="n">
        <x:f>'Transforms'!G6</x:f>
        <x:v>3.5203512194523174</x:v>
      </x:c>
      <x:c r="C9" s="32" t="n">
        <x:f>'Transforms'!O6</x:f>
        <x:v>0.22277227722772275</x:v>
      </x:c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 t="n">
        <x:f>SMALL($B$4:$B$9,ROW()-3)</x:f>
        <x:v>3.865399088291783</x:v>
      </x:c>
      <x:c r="T9" s="33" t="n">
        <x:f>SUMIF($B$4:$B$9,S9,$C$4:$C$9)/COUNTIF($B$4:$B$9,S9)</x:f>
        <x:v>0.2726757971529184</x:v>
      </x:c>
      <x:c r="U9" s="33" t="n">
        <x:f>SUM($T$4:T9)</x:f>
        <x:v>4.495448074380641</x:v>
      </x:c>
      <x:c r="V9" s="33"/>
      <x:c r="W9" s="33"/>
    </x:row>
    <x:row r="10">
      <x:c r="A10" s="24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</x:row>
    <x:row r="11">
      <x:c r="A11" s="24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4" t="str">
        <x:v>Initialization</x:v>
      </x:c>
      <x:c r="T11" s="34" t="str">
        <x:v>Calculated value</x:v>
      </x:c>
      <x:c r="U11" s="33"/>
      <x:c r="V11" s="33"/>
      <x:c r="W11" s="33"/>
    </x:row>
    <x:row r="12">
      <x:c r="A12" s="24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 t="str">
        <x:v>Weighted median</x:v>
      </x:c>
      <x:c r="T12" s="33" t="n">
        <x:f>MINIFS($S$4:$S$9,$U$4:$U$9,"&gt;="&amp;SUM($C$4:$C$9)/2)</x:f>
        <x:v>3.8066624897703196</x:v>
      </x:c>
      <x:c r="U12" s="33"/>
      <x:c r="V12" s="33"/>
      <x:c r="W12" s="33"/>
    </x:row>
    <x:row r="13">
      <x:c r="A13" s="24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 t="str">
        <x:v>Weighted MAD / scale</x:v>
      </x:c>
      <x:c r="T13" s="33" t="n">
        <x:f>MAX('Assumptions'!$B$9,'Assumptions'!$B$8*MINIFS($S$15:$S$20,$U$15:$U$20,"&gt;="&amp;SUM($C$4:$C$9)/2))</x:f>
        <x:v>0.05</x:v>
      </x:c>
      <x:c r="U13" s="33"/>
      <x:c r="V13" s="33"/>
      <x:c r="W13" s="33"/>
    </x:row>
    <x:row r="14">
      <x:c r="A14" s="24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4" t="str">
        <x:v>Sorted absolute residual</x:v>
      </x:c>
      <x:c r="T14" s="34" t="str">
        <x:v>Weight</x:v>
      </x:c>
      <x:c r="U14" s="34" t="str">
        <x:v>Cumulative</x:v>
      </x:c>
      <x:c r="V14" s="34" t="str">
        <x:v>Raw absolute residual</x:v>
      </x:c>
      <x:c r="W14" s="34" t="str">
        <x:v>Raw weight</x:v>
      </x:c>
    </x:row>
    <x:row r="15">
      <x:c r="A15" s="24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 t="n">
        <x:f>SMALL($V$15:$V$20,ROW()-14)</x:f>
        <x:v>0</x:v>
      </x:c>
      <x:c r="T15" s="33" t="n">
        <x:f>SUMIF($V$15:$V$20,S15,$W$15:$W$20)/COUNTIF($V$15:$V$20,S15)</x:f>
        <x:v>1</x:v>
      </x:c>
      <x:c r="U15" s="33" t="n">
        <x:f>SUM($T$15:T15)</x:f>
        <x:v>1</x:v>
      </x:c>
      <x:c r="V15" s="33" t="n">
        <x:f>ABS($B$4-$T$12)</x:f>
        <x:v>0</x:v>
      </x:c>
      <x:c r="W15" s="33" t="n">
        <x:f>$C$4</x:f>
        <x:v>1</x:v>
      </x:c>
    </x:row>
    <x:row r="16">
      <x:c r="A16" s="24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 t="n">
        <x:f>SMALL($V$15:$V$20,ROW()-14)</x:f>
        <x:v>0</x:v>
      </x:c>
      <x:c r="T16" s="33" t="n">
        <x:f>SUMIF($V$15:$V$20,S16,$W$15:$W$20)/COUNTIF($V$15:$V$20,S16)</x:f>
        <x:v>1</x:v>
      </x:c>
      <x:c r="U16" s="33" t="n">
        <x:f>SUM($T$15:T16)</x:f>
        <x:v>2</x:v>
      </x:c>
      <x:c r="V16" s="33" t="n">
        <x:f>ABS($B$5-$T$12)</x:f>
        <x:v>0</x:v>
      </x:c>
      <x:c r="W16" s="33" t="n">
        <x:f>$C$5</x:f>
        <x:v>1</x:v>
      </x:c>
    </x:row>
    <x:row r="17">
      <x:c r="A17" s="24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 t="n">
        <x:f>SMALL($V$15:$V$20,ROW()-14)</x:f>
        <x:v>0</x:v>
      </x:c>
      <x:c r="T17" s="33" t="n">
        <x:f>SUMIF($V$15:$V$20,S17,$W$15:$W$20)/COUNTIF($V$15:$V$20,S17)</x:f>
        <x:v>1</x:v>
      </x:c>
      <x:c r="U17" s="33" t="n">
        <x:f>SUM($T$15:T17)</x:f>
        <x:v>3</x:v>
      </x:c>
      <x:c r="V17" s="33" t="n">
        <x:f>ABS($B$6-$T$12)</x:f>
        <x:v>0</x:v>
      </x:c>
      <x:c r="W17" s="33" t="n">
        <x:f>$C$6</x:f>
        <x:v>1</x:v>
      </x:c>
    </x:row>
    <x:row r="18">
      <x:c r="A18" s="24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 t="n">
        <x:f>SMALL($V$15:$V$20,ROW()-14)</x:f>
        <x:v>0.05873659852146318</x:v>
      </x:c>
      <x:c r="T18" s="33" t="n">
        <x:f>SUMIF($V$15:$V$20,S18,$W$15:$W$20)/COUNTIF($V$15:$V$20,S18)</x:f>
        <x:v>0.2726757971529184</x:v>
      </x:c>
      <x:c r="U18" s="33" t="n">
        <x:f>SUM($T$15:T18)</x:f>
        <x:v>3.2726757971529183</x:v>
      </x:c>
      <x:c r="V18" s="33" t="n">
        <x:f>ABS($B$7-$T$12)</x:f>
        <x:v>0.16382697415779024</x:v>
      </x:c>
      <x:c r="W18" s="33" t="n">
        <x:f>$C$7</x:f>
        <x:v>1</x:v>
      </x:c>
    </x:row>
    <x:row r="19">
      <x:c r="A19" s="24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 t="n">
        <x:f>SMALL($V$15:$V$20,ROW()-14)</x:f>
        <x:v>0.16382697415779024</x:v>
      </x:c>
      <x:c r="T19" s="33" t="n">
        <x:f>SUMIF($V$15:$V$20,S19,$W$15:$W$20)/COUNTIF($V$15:$V$20,S19)</x:f>
        <x:v>1</x:v>
      </x:c>
      <x:c r="U19" s="33" t="n">
        <x:f>SUM($T$15:T19)</x:f>
        <x:v>4.272675797152918</x:v>
      </x:c>
      <x:c r="V19" s="33" t="n">
        <x:f>ABS($B$8-$T$12)</x:f>
        <x:v>0.05873659852146318</x:v>
      </x:c>
      <x:c r="W19" s="33" t="n">
        <x:f>$C$8</x:f>
        <x:v>0.2726757971529184</x:v>
      </x:c>
    </x:row>
    <x:row r="20">
      <x:c r="A20" s="24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 t="n">
        <x:f>SMALL($V$15:$V$20,ROW()-14)</x:f>
        <x:v>0.2863112703180022</x:v>
      </x:c>
      <x:c r="T20" s="33" t="n">
        <x:f>SUMIF($V$15:$V$20,S20,$W$15:$W$20)/COUNTIF($V$15:$V$20,S20)</x:f>
        <x:v>0.22277227722772275</x:v>
      </x:c>
      <x:c r="U20" s="33" t="n">
        <x:f>SUM($T$15:T20)</x:f>
        <x:v>4.495448074380641</x:v>
      </x:c>
      <x:c r="V20" s="33" t="n">
        <x:f>ABS($B$9-$T$12)</x:f>
        <x:v>0.2863112703180022</x:v>
      </x:c>
      <x:c r="W20" s="33" t="n">
        <x:f>$C$9</x:f>
        <x:v>0.22277227722772275</x:v>
      </x:c>
    </x:row>
    <x:row r="21">
      <x:c r="A21" s="24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</x:row>
    <x:row r="22">
      <x:c r="A22" s="24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</x:row>
    <x:row r="23">
      <x:c r="A23" s="26" t="str">
        <x:v>Iteration</x:v>
      </x:c>
      <x:c r="B23" s="34" t="str">
        <x:v>Start center</x:v>
      </x:c>
      <x:c r="C23" s="34" t="str">
        <x:v>Scale</x:v>
      </x:c>
      <x:c r="D23" s="34" t="str">
        <x:v>Prior 1 eff</x:v>
      </x:c>
      <x:c r="E23" s="34" t="str">
        <x:v>Prior 2 eff</x:v>
      </x:c>
      <x:c r="F23" s="34" t="str">
        <x:v>Prior 3 eff</x:v>
      </x:c>
      <x:c r="G23" s="34" t="str">
        <x:v>Evidence 1 eff</x:v>
      </x:c>
      <x:c r="H23" s="34" t="str">
        <x:v>Evidence 2 eff</x:v>
      </x:c>
      <x:c r="I23" s="34" t="str">
        <x:v>Evidence 3 eff</x:v>
      </x:c>
      <x:c r="J23" s="34" t="str">
        <x:v>Total eff</x:v>
      </x:c>
      <x:c r="K23" s="34" t="str">
        <x:v>End center</x:v>
      </x:c>
      <x:c r="L23" s="34" t="str">
        <x:v>Delta</x:v>
      </x:c>
      <x:c r="M23" s="34" t="str">
        <x:v>Active</x:v>
      </x:c>
      <x:c r="N23" s="34" t="str">
        <x:v>Active iteration</x:v>
      </x:c>
      <x:c r="O23" s="33"/>
      <x:c r="P23" s="33"/>
      <x:c r="Q23" s="33"/>
      <x:c r="R23" s="33"/>
      <x:c r="S23" s="33"/>
      <x:c r="T23" s="33"/>
      <x:c r="U23" s="33"/>
      <x:c r="V23" s="33"/>
      <x:c r="W23" s="33"/>
    </x:row>
    <x:row r="24">
      <x:c r="A24" s="28" t="n">
        <x:v>1</x:v>
      </x:c>
      <x:c r="B24" s="32" t="n">
        <x:f>$T$12</x:f>
        <x:v>3.8066624897703196</x:v>
      </x:c>
      <x:c r="C24" s="32" t="n">
        <x:f>$T$13</x:f>
        <x:v>0.05</x:v>
      </x:c>
      <x:c r="D24" s="32" t="n">
        <x:f>$C$4*IF(ABS(($B$4-$B24)/$C24)&lt;='Assumptions'!$B$5,1,'Assumptions'!$B$5/ABS(($B$4-$B24)/$C24))</x:f>
        <x:v>1</x:v>
      </x:c>
      <x:c r="E24" s="32" t="n">
        <x:f>$C$5*IF(ABS(($B$5-$B24)/$C24)&lt;='Assumptions'!$B$5,1,'Assumptions'!$B$5/ABS(($B$5-$B24)/$C24))</x:f>
        <x:v>1</x:v>
      </x:c>
      <x:c r="F24" s="32" t="n">
        <x:f>$C$6*IF(ABS(($B$6-$B24)/$C24)&lt;='Assumptions'!$B$5,1,'Assumptions'!$B$5/ABS(($B$6-$B24)/$C24))</x:f>
        <x:v>1</x:v>
      </x:c>
      <x:c r="G24" s="32" t="n">
        <x:f>$C$7*IF(ABS(($B$7-$B24)/$C24)&lt;='Assumptions'!$B$5,1,'Assumptions'!$B$5/ABS(($B$7-$B24)/$C24))</x:f>
        <x:v>0.4578000685513707</x:v>
      </x:c>
      <x:c r="H24" s="32" t="n">
        <x:f>$C$8*IF(ABS(($B$8-$B24)/$C24)&lt;='Assumptions'!$B$5,1,'Assumptions'!$B$5/ABS(($B$8-$B24)/$C24))</x:f>
        <x:v>0.2726757971529184</x:v>
      </x:c>
      <x:c r="I24" s="32" t="n">
        <x:f>$C$9*IF(ABS(($B$9-$B24)/$C24)&lt;='Assumptions'!$B$5,1,'Assumptions'!$B$5/ABS(($B$9-$B24)/$C24))</x:f>
        <x:v>0.05835579149057575</x:v>
      </x:c>
      <x:c r="J24" s="32" t="n">
        <x:f>SUM(D24:I24)</x:f>
        <x:v>3.788831657194865</x:v>
      </x:c>
      <x:c r="K24" s="32" t="n">
        <x:f>(D24*$B$4+E24*$B$5+F24*$B$6+G24*$B$7+H24*$B$8+I24*$B$9)/J24</x:f>
        <x:v>3.7866848610930326</x:v>
      </x:c>
      <x:c r="L24" s="32" t="n">
        <x:f>ABS(K24-B24)</x:f>
        <x:v>0.01997762867728703</x:v>
      </x:c>
      <x:c r="M24" s="32" t="n">
        <x:f>1</x:f>
        <x:v>1</x:v>
      </x:c>
      <x:c r="N24" s="32" t="n">
        <x:f>IF(M24=1,A24,0)</x:f>
        <x:v>1</x:v>
      </x:c>
      <x:c r="O24" s="33"/>
      <x:c r="P24" s="33"/>
      <x:c r="Q24" s="33"/>
      <x:c r="R24" s="33"/>
      <x:c r="S24" s="33"/>
      <x:c r="T24" s="33"/>
      <x:c r="U24" s="33"/>
      <x:c r="V24" s="33"/>
      <x:c r="W24" s="33"/>
    </x:row>
    <x:row r="25">
      <x:c r="A25" s="28" t="n">
        <x:v>2</x:v>
      </x:c>
      <x:c r="B25" s="32" t="n">
        <x:f>K24</x:f>
        <x:v>3.7866848610930326</x:v>
      </x:c>
      <x:c r="C25" s="32" t="n">
        <x:f>$T$13</x:f>
        <x:v>0.05</x:v>
      </x:c>
      <x:c r="D25" s="32" t="n">
        <x:f>$C$4*IF(ABS(($B$4-$B25)/$C25)&lt;='Assumptions'!$B$5,1,'Assumptions'!$B$5/ABS(($B$4-$B25)/$C25))</x:f>
        <x:v>1</x:v>
      </x:c>
      <x:c r="E25" s="32" t="n">
        <x:f>$C$5*IF(ABS(($B$5-$B25)/$C25)&lt;='Assumptions'!$B$5,1,'Assumptions'!$B$5/ABS(($B$5-$B25)/$C25))</x:f>
        <x:v>1</x:v>
      </x:c>
      <x:c r="F25" s="32" t="n">
        <x:f>$C$6*IF(ABS(($B$6-$B25)/$C25)&lt;='Assumptions'!$B$5,1,'Assumptions'!$B$5/ABS(($B$6-$B25)/$C25))</x:f>
        <x:v>1</x:v>
      </x:c>
      <x:c r="G25" s="32" t="n">
        <x:f>$C$7*IF(ABS(($B$7-$B25)/$C25)&lt;='Assumptions'!$B$5,1,'Assumptions'!$B$5/ABS(($B$7-$B25)/$C25))</x:f>
        <x:v>0.5213788060659978</x:v>
      </x:c>
      <x:c r="H25" s="32" t="n">
        <x:f>$C$8*IF(ABS(($B$8-$B25)/$C25)&lt;='Assumptions'!$B$5,1,'Assumptions'!$B$5/ABS(($B$8-$B25)/$C25))</x:f>
        <x:v>0.2598092557630241</x:v>
      </x:c>
      <x:c r="I25" s="32" t="n">
        <x:f>$C$9*IF(ABS(($B$9-$B25)/$C25)&lt;='Assumptions'!$B$5,1,'Assumptions'!$B$5/ABS(($B$9-$B25)/$C25))</x:f>
        <x:v>0.06273304674975398</x:v>
      </x:c>
      <x:c r="J25" s="32" t="n">
        <x:f>SUM(D25:I25)</x:f>
        <x:v>3.843921108578776</x:v>
      </x:c>
      <x:c r="K25" s="32" t="n">
        <x:f>(D25*$B$4+E25*$B$5+F25*$B$6+G25*$B$7+H25*$B$8+I25*$B$9)/J25</x:f>
        <x:v>3.783738819888265</x:v>
      </x:c>
      <x:c r="L25" s="32" t="n">
        <x:f>ABS(K25-B25)</x:f>
        <x:v>0.002946041204767713</x:v>
      </x:c>
      <x:c r="M25" s="32" t="n">
        <x:f>IF(L24&gt;'Assumptions'!$B$7,1,0)</x:f>
        <x:v>1</x:v>
      </x:c>
      <x:c r="N25" s="32" t="n">
        <x:f>IF(M25=1,A25,0)</x:f>
        <x:v>2</x:v>
      </x:c>
      <x:c r="O25" s="33"/>
      <x:c r="P25" s="33"/>
      <x:c r="Q25" s="33"/>
      <x:c r="R25" s="33"/>
      <x:c r="S25" s="33"/>
      <x:c r="T25" s="33"/>
      <x:c r="U25" s="33"/>
      <x:c r="V25" s="33"/>
      <x:c r="W25" s="33"/>
    </x:row>
    <x:row r="26">
      <x:c r="A26" s="28" t="n">
        <x:v>3</x:v>
      </x:c>
      <x:c r="B26" s="32" t="n">
        <x:f>K25</x:f>
        <x:v>3.783738819888265</x:v>
      </x:c>
      <x:c r="C26" s="32" t="n">
        <x:f>$T$13</x:f>
        <x:v>0.05</x:v>
      </x:c>
      <x:c r="D26" s="32" t="n">
        <x:f>$C$4*IF(ABS(($B$4-$B26)/$C26)&lt;='Assumptions'!$B$5,1,'Assumptions'!$B$5/ABS(($B$4-$B26)/$C26))</x:f>
        <x:v>1</x:v>
      </x:c>
      <x:c r="E26" s="32" t="n">
        <x:f>$C$5*IF(ABS(($B$5-$B26)/$C26)&lt;='Assumptions'!$B$5,1,'Assumptions'!$B$5/ABS(($B$5-$B26)/$C26))</x:f>
        <x:v>1</x:v>
      </x:c>
      <x:c r="F26" s="32" t="n">
        <x:f>$C$6*IF(ABS(($B$6-$B26)/$C26)&lt;='Assumptions'!$B$5,1,'Assumptions'!$B$5/ABS(($B$6-$B26)/$C26))</x:f>
        <x:v>1</x:v>
      </x:c>
      <x:c r="G26" s="32" t="n">
        <x:f>$C$7*IF(ABS(($B$7-$B26)/$C26)&lt;='Assumptions'!$B$5,1,'Assumptions'!$B$5/ABS(($B$7-$B26)/$C26))</x:f>
        <x:v>0.5322799233524824</x:v>
      </x:c>
      <x:c r="H26" s="32" t="n">
        <x:f>$C$8*IF(ABS(($B$8-$B26)/$C26)&lt;='Assumptions'!$B$5,1,'Assumptions'!$B$5/ABS(($B$8-$B26)/$C26))</x:f>
        <x:v>0.25043616909772326</x:v>
      </x:c>
      <x:c r="I26" s="32" t="n">
        <x:f>$C$9*IF(ABS(($B$9-$B26)/$C26)&lt;='Assumptions'!$B$5,1,'Assumptions'!$B$5/ABS(($B$9-$B26)/$C26))</x:f>
        <x:v>0.06343472799943885</x:v>
      </x:c>
      <x:c r="J26" s="32" t="n">
        <x:f>SUM(D26:I26)</x:f>
        <x:v>3.8461508204496444</x:v>
      </x:c>
      <x:c r="K26" s="32" t="n">
        <x:f>(D26*$B$4+E26*$B$5+F26*$B$6+G26*$B$7+H26*$B$8+I26*$B$9)/J26</x:f>
        <x:v>3.7830924005262823</x:v>
      </x:c>
      <x:c r="L26" s="32" t="n">
        <x:f>ABS(K26-B26)</x:f>
        <x:v>0.0006464193619826197</x:v>
      </x:c>
      <x:c r="M26" s="32" t="n">
        <x:f>IF(L25&gt;'Assumptions'!$B$7,1,0)</x:f>
        <x:v>1</x:v>
      </x:c>
      <x:c r="N26" s="32" t="n">
        <x:f>IF(M26=1,A26,0)</x:f>
        <x:v>3</x:v>
      </x:c>
      <x:c r="O26" s="33"/>
      <x:c r="P26" s="33"/>
      <x:c r="Q26" s="33"/>
      <x:c r="R26" s="33"/>
      <x:c r="S26" s="33"/>
      <x:c r="T26" s="33"/>
      <x:c r="U26" s="33"/>
      <x:c r="V26" s="33"/>
      <x:c r="W26" s="33"/>
    </x:row>
    <x:row r="27">
      <x:c r="A27" s="28" t="n">
        <x:v>4</x:v>
      </x:c>
      <x:c r="B27" s="32" t="n">
        <x:f>K26</x:f>
        <x:v>3.7830924005262823</x:v>
      </x:c>
      <x:c r="C27" s="32" t="n">
        <x:f>$T$13</x:f>
        <x:v>0.05</x:v>
      </x:c>
      <x:c r="D27" s="32" t="n">
        <x:f>$C$4*IF(ABS(($B$4-$B27)/$C27)&lt;='Assumptions'!$B$5,1,'Assumptions'!$B$5/ABS(($B$4-$B27)/$C27))</x:f>
        <x:v>1</x:v>
      </x:c>
      <x:c r="E27" s="32" t="n">
        <x:f>$C$5*IF(ABS(($B$5-$B27)/$C27)&lt;='Assumptions'!$B$5,1,'Assumptions'!$B$5/ABS(($B$5-$B27)/$C27))</x:f>
        <x:v>1</x:v>
      </x:c>
      <x:c r="F27" s="32" t="n">
        <x:f>$C$6*IF(ABS(($B$6-$B27)/$C27)&lt;='Assumptions'!$B$5,1,'Assumptions'!$B$5/ABS(($B$6-$B27)/$C27))</x:f>
        <x:v>1</x:v>
      </x:c>
      <x:c r="G27" s="32" t="n">
        <x:f>$C$7*IF(ABS(($B$7-$B27)/$C27)&lt;='Assumptions'!$B$5,1,'Assumptions'!$B$5/ABS(($B$7-$B27)/$C27))</x:f>
        <x:v>0.5347331080832088</x:v>
      </x:c>
      <x:c r="H27" s="32" t="n">
        <x:f>$C$8*IF(ABS(($B$8-$B27)/$C27)&lt;='Assumptions'!$B$5,1,'Assumptions'!$B$5/ABS(($B$8-$B27)/$C27))</x:f>
        <x:v>0.24846929625858347</x:v>
      </x:c>
      <x:c r="I27" s="32" t="n">
        <x:f>$C$9*IF(ABS(($B$9-$B27)/$C27)&lt;='Assumptions'!$B$5,1,'Assumptions'!$B$5/ABS(($B$9-$B27)/$C27))</x:f>
        <x:v>0.06359079579297362</x:v>
      </x:c>
      <x:c r="J27" s="32" t="n">
        <x:f>SUM(D27:I27)</x:f>
        <x:v>3.846793200134766</x:v>
      </x:c>
      <x:c r="K27" s="32" t="n">
        <x:f>(D27*$B$4+E27*$B$5+F27*$B$6+G27*$B$7+H27*$B$8+I27*$B$9)/J27</x:f>
        <x:v>3.7829502124113925</x:v>
      </x:c>
      <x:c r="L27" s="32" t="n">
        <x:f>ABS(K27-B27)</x:f>
        <x:v>0.00014218811488975192</x:v>
      </x:c>
      <x:c r="M27" s="32" t="n">
        <x:f>IF(L26&gt;'Assumptions'!$B$7,1,0)</x:f>
        <x:v>1</x:v>
      </x:c>
      <x:c r="N27" s="32" t="n">
        <x:f>IF(M27=1,A27,0)</x:f>
        <x:v>4</x:v>
      </x:c>
      <x:c r="O27" s="33"/>
      <x:c r="P27" s="33"/>
      <x:c r="Q27" s="33"/>
      <x:c r="R27" s="33"/>
      <x:c r="S27" s="33"/>
      <x:c r="T27" s="33"/>
      <x:c r="U27" s="33"/>
      <x:c r="V27" s="33"/>
      <x:c r="W27" s="33"/>
    </x:row>
    <x:row r="28">
      <x:c r="A28" s="28" t="n">
        <x:v>5</x:v>
      </x:c>
      <x:c r="B28" s="32" t="n">
        <x:f>K27</x:f>
        <x:v>3.7829502124113925</x:v>
      </x:c>
      <x:c r="C28" s="32" t="n">
        <x:f>$T$13</x:f>
        <x:v>0.05</x:v>
      </x:c>
      <x:c r="D28" s="32" t="n">
        <x:f>$C$4*IF(ABS(($B$4-$B28)/$C28)&lt;='Assumptions'!$B$5,1,'Assumptions'!$B$5/ABS(($B$4-$B28)/$C28))</x:f>
        <x:v>1</x:v>
      </x:c>
      <x:c r="E28" s="32" t="n">
        <x:f>$C$5*IF(ABS(($B$5-$B28)/$C28)&lt;='Assumptions'!$B$5,1,'Assumptions'!$B$5/ABS(($B$5-$B28)/$C28))</x:f>
        <x:v>1</x:v>
      </x:c>
      <x:c r="F28" s="32" t="n">
        <x:f>$C$6*IF(ABS(($B$6-$B28)/$C28)&lt;='Assumptions'!$B$5,1,'Assumptions'!$B$5/ABS(($B$6-$B28)/$C28))</x:f>
        <x:v>1</x:v>
      </x:c>
      <x:c r="G28" s="32" t="n">
        <x:f>$C$7*IF(ABS(($B$7-$B28)/$C28)&lt;='Assumptions'!$B$5,1,'Assumptions'!$B$5/ABS(($B$7-$B28)/$C28))</x:f>
        <x:v>0.5352757541749078</x:v>
      </x:c>
      <x:c r="H28" s="32" t="n">
        <x:f>$C$8*IF(ABS(($B$8-$B28)/$C28)&lt;='Assumptions'!$B$5,1,'Assumptions'!$B$5/ABS(($B$8-$B28)/$C28))</x:f>
        <x:v>0.2480407958034136</x:v>
      </x:c>
      <x:c r="I28" s="32" t="n">
        <x:f>$C$9*IF(ABS(($B$9-$B28)/$C28)&lt;='Assumptions'!$B$5,1,'Assumptions'!$B$5/ABS(($B$9-$B28)/$C28))</x:f>
        <x:v>0.06362522797139235</x:v>
      </x:c>
      <x:c r="J28" s="32" t="n">
        <x:f>SUM(D28:I28)</x:f>
        <x:v>3.8469417779497137</x:v>
      </x:c>
      <x:c r="K28" s="32" t="n">
        <x:f>(D28*$B$4+E28*$B$5+F28*$B$6+G28*$B$7+H28*$B$8+I28*$B$9)/J28</x:f>
        <x:v>3.782918913801802</x:v>
      </x:c>
      <x:c r="L28" s="32" t="n">
        <x:f>ABS(K28-B28)</x:f>
        <x:v>0.00003129860959072417</x:v>
      </x:c>
      <x:c r="M28" s="32" t="n">
        <x:f>IF(L27&gt;'Assumptions'!$B$7,1,0)</x:f>
        <x:v>1</x:v>
      </x:c>
      <x:c r="N28" s="32" t="n">
        <x:f>IF(M28=1,A28,0)</x:f>
        <x:v>5</x:v>
      </x:c>
      <x:c r="O28" s="33"/>
      <x:c r="P28" s="33"/>
      <x:c r="Q28" s="33"/>
      <x:c r="R28" s="33"/>
      <x:c r="S28" s="33"/>
      <x:c r="T28" s="33"/>
      <x:c r="U28" s="33"/>
      <x:c r="V28" s="33"/>
      <x:c r="W28" s="33"/>
    </x:row>
    <x:row r="29">
      <x:c r="A29" s="28" t="n">
        <x:v>6</x:v>
      </x:c>
      <x:c r="B29" s="32" t="n">
        <x:f>K28</x:f>
        <x:v>3.782918913801802</x:v>
      </x:c>
      <x:c r="C29" s="32" t="n">
        <x:f>$T$13</x:f>
        <x:v>0.05</x:v>
      </x:c>
      <x:c r="D29" s="32" t="n">
        <x:f>$C$4*IF(ABS(($B$4-$B29)/$C29)&lt;='Assumptions'!$B$5,1,'Assumptions'!$B$5/ABS(($B$4-$B29)/$C29))</x:f>
        <x:v>1</x:v>
      </x:c>
      <x:c r="E29" s="32" t="n">
        <x:f>$C$5*IF(ABS(($B$5-$B29)/$C29)&lt;='Assumptions'!$B$5,1,'Assumptions'!$B$5/ABS(($B$5-$B29)/$C29))</x:f>
        <x:v>1</x:v>
      </x:c>
      <x:c r="F29" s="32" t="n">
        <x:f>$C$6*IF(ABS(($B$6-$B29)/$C29)&lt;='Assumptions'!$B$5,1,'Assumptions'!$B$5/ABS(($B$6-$B29)/$C29))</x:f>
        <x:v>1</x:v>
      </x:c>
      <x:c r="G29" s="32" t="n">
        <x:f>$C$7*IF(ABS(($B$7-$B29)/$C29)&lt;='Assumptions'!$B$5,1,'Assumptions'!$B$5/ABS(($B$7-$B29)/$C29))</x:f>
        <x:v>0.5353953499804769</x:v>
      </x:c>
      <x:c r="H29" s="32" t="n">
        <x:f>$C$8*IF(ABS(($B$8-$B29)/$C29)&lt;='Assumptions'!$B$5,1,'Assumptions'!$B$5/ABS(($B$8-$B29)/$C29))</x:f>
        <x:v>0.2479466721903341</x:v>
      </x:c>
      <x:c r="I29" s="32" t="n">
        <x:f>$C$9*IF(ABS(($B$9-$B29)/$C29)&lt;='Assumptions'!$B$5,1,'Assumptions'!$B$5/ABS(($B$9-$B29)/$C29))</x:f>
        <x:v>0.06363281222952179</x:v>
      </x:c>
      <x:c r="J29" s="32" t="n">
        <x:f>SUM(D29:I29)</x:f>
        <x:v>3.846974834400333</x:v>
      </x:c>
      <x:c r="K29" s="32" t="n">
        <x:f>(D29*$B$4+E29*$B$5+F29*$B$6+G29*$B$7+H29*$B$8+I29*$B$9)/J29</x:f>
        <x:v>3.7829120231666407</x:v>
      </x:c>
      <x:c r="L29" s="32" t="n">
        <x:f>ABS(K29-B29)</x:f>
        <x:v>0.000006890635161127534</x:v>
      </x:c>
      <x:c r="M29" s="32" t="n">
        <x:f>IF(L28&gt;'Assumptions'!$B$7,1,0)</x:f>
        <x:v>1</x:v>
      </x:c>
      <x:c r="N29" s="32" t="n">
        <x:f>IF(M29=1,A29,0)</x:f>
        <x:v>6</x:v>
      </x:c>
      <x:c r="O29" s="33"/>
      <x:c r="P29" s="33"/>
      <x:c r="Q29" s="33"/>
      <x:c r="R29" s="33"/>
      <x:c r="S29" s="33"/>
      <x:c r="T29" s="33"/>
      <x:c r="U29" s="33"/>
      <x:c r="V29" s="33"/>
      <x:c r="W29" s="33"/>
    </x:row>
    <x:row r="30">
      <x:c r="A30" s="28" t="n">
        <x:v>7</x:v>
      </x:c>
      <x:c r="B30" s="32" t="n">
        <x:f>K29</x:f>
        <x:v>3.7829120231666407</x:v>
      </x:c>
      <x:c r="C30" s="32" t="n">
        <x:f>$T$13</x:f>
        <x:v>0.05</x:v>
      </x:c>
      <x:c r="D30" s="32" t="n">
        <x:f>$C$4*IF(ABS(($B$4-$B30)/$C30)&lt;='Assumptions'!$B$5,1,'Assumptions'!$B$5/ABS(($B$4-$B30)/$C30))</x:f>
        <x:v>1</x:v>
      </x:c>
      <x:c r="E30" s="32" t="n">
        <x:f>$C$5*IF(ABS(($B$5-$B30)/$C30)&lt;='Assumptions'!$B$5,1,'Assumptions'!$B$5/ABS(($B$5-$B30)/$C30))</x:f>
        <x:v>1</x:v>
      </x:c>
      <x:c r="F30" s="32" t="n">
        <x:f>$C$6*IF(ABS(($B$6-$B30)/$C30)&lt;='Assumptions'!$B$5,1,'Assumptions'!$B$5/ABS(($B$6-$B30)/$C30))</x:f>
        <x:v>1</x:v>
      </x:c>
      <x:c r="G30" s="32" t="n">
        <x:f>$C$7*IF(ABS(($B$7-$B30)/$C30)&lt;='Assumptions'!$B$5,1,'Assumptions'!$B$5/ABS(($B$7-$B30)/$C30))</x:f>
        <x:v>0.5354216871164328</x:v>
      </x:c>
      <x:c r="H30" s="32" t="n">
        <x:f>$C$8*IF(ABS(($B$8-$B30)/$C30)&lt;='Assumptions'!$B$5,1,'Assumptions'!$B$5/ABS(($B$8-$B30)/$C30))</x:f>
        <x:v>0.24792595973008488</x:v>
      </x:c>
      <x:c r="I30" s="32" t="n">
        <x:f>$C$9*IF(ABS(($B$9-$B30)/$C30)&lt;='Assumptions'!$B$5,1,'Assumptions'!$B$5/ABS(($B$9-$B30)/$C30))</x:f>
        <x:v>0.06363448220648386</x:v>
      </x:c>
      <x:c r="J30" s="32" t="n">
        <x:f>SUM(D30:I30)</x:f>
        <x:v>3.8469821290530013</x:v>
      </x:c>
      <x:c r="K30" s="32" t="n">
        <x:f>(D30*$B$4+E30*$B$5+F30*$B$6+G30*$B$7+H30*$B$8+I30*$B$9)/J30</x:f>
        <x:v>3.7829105060827612</x:v>
      </x:c>
      <x:c r="L30" s="32" t="n">
        <x:f>ABS(K30-B30)</x:f>
        <x:v>0.000001517083879409853</x:v>
      </x:c>
      <x:c r="M30" s="32" t="n">
        <x:f>IF(L29&gt;'Assumptions'!$B$7,1,0)</x:f>
        <x:v>1</x:v>
      </x:c>
      <x:c r="N30" s="32" t="n">
        <x:f>IF(M30=1,A30,0)</x:f>
        <x:v>7</x:v>
      </x:c>
      <x:c r="O30" s="33"/>
      <x:c r="P30" s="33"/>
      <x:c r="Q30" s="33"/>
      <x:c r="R30" s="33"/>
      <x:c r="S30" s="33"/>
      <x:c r="T30" s="33"/>
      <x:c r="U30" s="33"/>
      <x:c r="V30" s="33"/>
      <x:c r="W30" s="33"/>
    </x:row>
    <x:row r="31">
      <x:c r="A31" s="28" t="n">
        <x:v>8</x:v>
      </x:c>
      <x:c r="B31" s="32" t="n">
        <x:f>K30</x:f>
        <x:v>3.7829105060827612</x:v>
      </x:c>
      <x:c r="C31" s="32" t="n">
        <x:f>$T$13</x:f>
        <x:v>0.05</x:v>
      </x:c>
      <x:c r="D31" s="32" t="n">
        <x:f>$C$4*IF(ABS(($B$4-$B31)/$C31)&lt;='Assumptions'!$B$5,1,'Assumptions'!$B$5/ABS(($B$4-$B31)/$C31))</x:f>
        <x:v>1</x:v>
      </x:c>
      <x:c r="E31" s="32" t="n">
        <x:f>$C$5*IF(ABS(($B$5-$B31)/$C31)&lt;='Assumptions'!$B$5,1,'Assumptions'!$B$5/ABS(($B$5-$B31)/$C31))</x:f>
        <x:v>1</x:v>
      </x:c>
      <x:c r="F31" s="32" t="n">
        <x:f>$C$6*IF(ABS(($B$6-$B31)/$C31)&lt;='Assumptions'!$B$5,1,'Assumptions'!$B$5/ABS(($B$6-$B31)/$C31))</x:f>
        <x:v>1</x:v>
      </x:c>
      <x:c r="G31" s="32" t="n">
        <x:f>$C$7*IF(ABS(($B$7-$B31)/$C31)&lt;='Assumptions'!$B$5,1,'Assumptions'!$B$5/ABS(($B$7-$B31)/$C31))</x:f>
        <x:v>0.5354274860074946</x:v>
      </x:c>
      <x:c r="H31" s="32" t="n">
        <x:f>$C$8*IF(ABS(($B$8-$B31)/$C31)&lt;='Assumptions'!$B$5,1,'Assumptions'!$B$5/ABS(($B$8-$B31)/$C31))</x:f>
        <x:v>0.24792140001446458</x:v>
      </x:c>
      <x:c r="I31" s="32" t="n">
        <x:f>$C$9*IF(ABS(($B$9-$B31)/$C31)&lt;='Assumptions'!$B$5,1,'Assumptions'!$B$5/ABS(($B$9-$B31)/$C31))</x:f>
        <x:v>0.06363484989047773</x:v>
      </x:c>
      <x:c r="J31" s="32" t="n">
        <x:f>SUM(D31:I31)</x:f>
        <x:v>3.8469837359124366</x:v>
      </x:c>
      <x:c r="K31" s="32" t="n">
        <x:f>(D31*$B$4+E31*$B$5+F31*$B$6+G31*$B$7+H31*$B$8+I31*$B$9)/J31</x:f>
        <x:v>3.7829101720696685</x:v>
      </x:c>
      <x:c r="L31" s="32" t="n">
        <x:f>ABS(K31-B31)</x:f>
        <x:v>3.340130927398377e-7</x:v>
      </x:c>
      <x:c r="M31" s="32" t="n">
        <x:f>IF(L30&gt;'Assumptions'!$B$7,1,0)</x:f>
        <x:v>1</x:v>
      </x:c>
      <x:c r="N31" s="32" t="n">
        <x:f>IF(M31=1,A31,0)</x:f>
        <x:v>8</x:v>
      </x:c>
      <x:c r="O31" s="33"/>
      <x:c r="P31" s="33"/>
      <x:c r="Q31" s="33"/>
      <x:c r="R31" s="33"/>
      <x:c r="S31" s="33"/>
      <x:c r="T31" s="33"/>
      <x:c r="U31" s="33"/>
      <x:c r="V31" s="33"/>
      <x:c r="W31" s="33"/>
    </x:row>
    <x:row r="32">
      <x:c r="A32" s="28" t="n">
        <x:v>9</x:v>
      </x:c>
      <x:c r="B32" s="32" t="n">
        <x:f>K31</x:f>
        <x:v>3.7829101720696685</x:v>
      </x:c>
      <x:c r="C32" s="32" t="n">
        <x:f>$T$13</x:f>
        <x:v>0.05</x:v>
      </x:c>
      <x:c r="D32" s="32" t="n">
        <x:f>$C$4*IF(ABS(($B$4-$B32)/$C32)&lt;='Assumptions'!$B$5,1,'Assumptions'!$B$5/ABS(($B$4-$B32)/$C32))</x:f>
        <x:v>1</x:v>
      </x:c>
      <x:c r="E32" s="32" t="n">
        <x:f>$C$5*IF(ABS(($B$5-$B32)/$C32)&lt;='Assumptions'!$B$5,1,'Assumptions'!$B$5/ABS(($B$5-$B32)/$C32))</x:f>
        <x:v>1</x:v>
      </x:c>
      <x:c r="F32" s="32" t="n">
        <x:f>$C$6*IF(ABS(($B$6-$B32)/$C32)&lt;='Assumptions'!$B$5,1,'Assumptions'!$B$5/ABS(($B$6-$B32)/$C32))</x:f>
        <x:v>1</x:v>
      </x:c>
      <x:c r="G32" s="32" t="n">
        <x:f>$C$7*IF(ABS(($B$7-$B32)/$C32)&lt;='Assumptions'!$B$5,1,'Assumptions'!$B$5/ABS(($B$7-$B32)/$C32))</x:f>
        <x:v>0.5354287627537316</x:v>
      </x:c>
      <x:c r="H32" s="32" t="n">
        <x:f>$C$8*IF(ABS(($B$8-$B32)/$C32)&lt;='Assumptions'!$B$5,1,'Assumptions'!$B$5/ABS(($B$8-$B32)/$C32))</x:f>
        <x:v>0.24792039613421776</x:v>
      </x:c>
      <x:c r="I32" s="32" t="n">
        <x:f>$C$9*IF(ABS(($B$9-$B32)/$C32)&lt;='Assumptions'!$B$5,1,'Assumptions'!$B$5/ABS(($B$9-$B32)/$C32))</x:f>
        <x:v>0.06363493084324207</x:v>
      </x:c>
      <x:c r="J32" s="32" t="n">
        <x:f>SUM(D32:I32)</x:f>
        <x:v>3.8469840897311913</x:v>
      </x:c>
      <x:c r="K32" s="32" t="n">
        <x:f>(D32*$B$4+E32*$B$5+F32*$B$6+G32*$B$7+H32*$B$8+I32*$B$9)/J32</x:f>
        <x:v>3.782910098530592</x:v>
      </x:c>
      <x:c r="L32" s="32" t="n">
        <x:f>ABS(K32-B32)</x:f>
        <x:v>7.353907660601067e-8</x:v>
      </x:c>
      <x:c r="M32" s="32" t="n">
        <x:f>IF(L31&gt;'Assumptions'!$B$7,1,0)</x:f>
        <x:v>1</x:v>
      </x:c>
      <x:c r="N32" s="32" t="n">
        <x:f>IF(M32=1,A32,0)</x:f>
        <x:v>9</x:v>
      </x:c>
      <x:c r="O32" s="33"/>
      <x:c r="P32" s="33"/>
      <x:c r="Q32" s="33"/>
      <x:c r="R32" s="33"/>
      <x:c r="S32" s="33"/>
      <x:c r="T32" s="33"/>
      <x:c r="U32" s="33"/>
      <x:c r="V32" s="33"/>
      <x:c r="W32" s="33"/>
    </x:row>
    <x:row r="33">
      <x:c r="A33" s="28" t="n">
        <x:v>10</x:v>
      </x:c>
      <x:c r="B33" s="32" t="n">
        <x:f>K32</x:f>
        <x:v>3.782910098530592</x:v>
      </x:c>
      <x:c r="C33" s="32" t="n">
        <x:f>$T$13</x:f>
        <x:v>0.05</x:v>
      </x:c>
      <x:c r="D33" s="32" t="n">
        <x:f>$C$4*IF(ABS(($B$4-$B33)/$C33)&lt;='Assumptions'!$B$5,1,'Assumptions'!$B$5/ABS(($B$4-$B33)/$C33))</x:f>
        <x:v>1</x:v>
      </x:c>
      <x:c r="E33" s="32" t="n">
        <x:f>$C$5*IF(ABS(($B$5-$B33)/$C33)&lt;='Assumptions'!$B$5,1,'Assumptions'!$B$5/ABS(($B$5-$B33)/$C33))</x:f>
        <x:v>1</x:v>
      </x:c>
      <x:c r="F33" s="32" t="n">
        <x:f>$C$6*IF(ABS(($B$6-$B33)/$C33)&lt;='Assumptions'!$B$5,1,'Assumptions'!$B$5/ABS(($B$6-$B33)/$C33))</x:f>
        <x:v>1</x:v>
      </x:c>
      <x:c r="G33" s="32" t="n">
        <x:f>$C$7*IF(ABS(($B$7-$B33)/$C33)&lt;='Assumptions'!$B$5,1,'Assumptions'!$B$5/ABS(($B$7-$B33)/$C33))</x:f>
        <x:v>0.5354290438535284</x:v>
      </x:c>
      <x:c r="H33" s="32" t="n">
        <x:f>$C$8*IF(ABS(($B$8-$B33)/$C33)&lt;='Assumptions'!$B$5,1,'Assumptions'!$B$5/ABS(($B$8-$B33)/$C33))</x:f>
        <x:v>0.24792017511275716</x:v>
      </x:c>
      <x:c r="I33" s="32" t="n">
        <x:f>$C$9*IF(ABS(($B$9-$B33)/$C33)&lt;='Assumptions'!$B$5,1,'Assumptions'!$B$5/ABS(($B$9-$B33)/$C33))</x:f>
        <x:v>0.06363494866649783</x:v>
      </x:c>
      <x:c r="J33" s="32" t="n">
        <x:f>SUM(D33:I33)</x:f>
        <x:v>3.8469841676327836</x:v>
      </x:c>
      <x:c r="K33" s="32" t="n">
        <x:f>(D33*$B$4+E33*$B$5+F33*$B$6+G33*$B$7+H33*$B$8+I33*$B$9)/J33</x:f>
        <x:v>3.782910082339616</x:v>
      </x:c>
      <x:c r="L33" s="32" t="n">
        <x:f>ABS(K33-B33)</x:f>
        <x:v>1.6190976115382227e-8</x:v>
      </x:c>
      <x:c r="M33" s="32" t="n">
        <x:f>IF(L32&gt;'Assumptions'!$B$7,1,0)</x:f>
        <x:v>1</x:v>
      </x:c>
      <x:c r="N33" s="32" t="n">
        <x:f>IF(M33=1,A33,0)</x:f>
        <x:v>10</x:v>
      </x:c>
      <x:c r="O33" s="33"/>
      <x:c r="P33" s="33"/>
      <x:c r="Q33" s="33"/>
      <x:c r="R33" s="33"/>
      <x:c r="S33" s="33"/>
      <x:c r="T33" s="33"/>
      <x:c r="U33" s="33"/>
      <x:c r="V33" s="33"/>
      <x:c r="W33" s="33"/>
    </x:row>
    <x:row r="34">
      <x:c r="A34" s="28" t="n">
        <x:v>11</x:v>
      </x:c>
      <x:c r="B34" s="32" t="n">
        <x:f>K33</x:f>
        <x:v>3.782910082339616</x:v>
      </x:c>
      <x:c r="C34" s="32" t="n">
        <x:f>$T$13</x:f>
        <x:v>0.05</x:v>
      </x:c>
      <x:c r="D34" s="32" t="n">
        <x:f>$C$4*IF(ABS(($B$4-$B34)/$C34)&lt;='Assumptions'!$B$5,1,'Assumptions'!$B$5/ABS(($B$4-$B34)/$C34))</x:f>
        <x:v>1</x:v>
      </x:c>
      <x:c r="E34" s="32" t="n">
        <x:f>$C$5*IF(ABS(($B$5-$B34)/$C34)&lt;='Assumptions'!$B$5,1,'Assumptions'!$B$5/ABS(($B$5-$B34)/$C34))</x:f>
        <x:v>1</x:v>
      </x:c>
      <x:c r="F34" s="32" t="n">
        <x:f>$C$6*IF(ABS(($B$6-$B34)/$C34)&lt;='Assumptions'!$B$5,1,'Assumptions'!$B$5/ABS(($B$6-$B34)/$C34))</x:f>
        <x:v>1</x:v>
      </x:c>
      <x:c r="G34" s="32" t="n">
        <x:f>$C$7*IF(ABS(($B$7-$B34)/$C34)&lt;='Assumptions'!$B$5,1,'Assumptions'!$B$5/ABS(($B$7-$B34)/$C34))</x:f>
        <x:v>0.5354291057428425</x:v>
      </x:c>
      <x:c r="H34" s="32" t="n">
        <x:f>$C$8*IF(ABS(($B$8-$B34)/$C34)&lt;='Assumptions'!$B$5,1,'Assumptions'!$B$5/ABS(($B$8-$B34)/$C34))</x:f>
        <x:v>0.2479201264508829</x:v>
      </x:c>
      <x:c r="I34" s="32" t="n">
        <x:f>$C$9*IF(ABS(($B$9-$B34)/$C34)&lt;='Assumptions'!$B$5,1,'Assumptions'!$B$5/ABS(($B$9-$B34)/$C34))</x:f>
        <x:v>0.06363495259061573</x:v>
      </x:c>
      <x:c r="J34" s="32" t="n">
        <x:f>SUM(D34:I34)</x:f>
        <x:v>3.846984184784341</x:v>
      </x:c>
      <x:c r="K34" s="32" t="n">
        <x:f>(D34*$B$4+E34*$B$5+F34*$B$6+G34*$B$7+H34*$B$8+I34*$B$9)/J34</x:f>
        <x:v>3.7829100787748757</x:v>
      </x:c>
      <x:c r="L34" s="32" t="n">
        <x:f>ABS(K34-B34)</x:f>
        <x:v>3.5647400586924505e-9</x:v>
      </x:c>
      <x:c r="M34" s="32" t="n">
        <x:f>IF(L33&gt;'Assumptions'!$B$7,1,0)</x:f>
        <x:v>1</x:v>
      </x:c>
      <x:c r="N34" s="32" t="n">
        <x:f>IF(M34=1,A34,0)</x:f>
        <x:v>11</x:v>
      </x:c>
      <x:c r="O34" s="33"/>
      <x:c r="P34" s="33"/>
      <x:c r="Q34" s="33"/>
      <x:c r="R34" s="33"/>
      <x:c r="S34" s="33"/>
      <x:c r="T34" s="33"/>
      <x:c r="U34" s="33"/>
      <x:c r="V34" s="33"/>
      <x:c r="W34" s="33"/>
    </x:row>
    <x:row r="35">
      <x:c r="A35" s="28" t="n">
        <x:v>12</x:v>
      </x:c>
      <x:c r="B35" s="32" t="n">
        <x:f>K34</x:f>
        <x:v>3.7829100787748757</x:v>
      </x:c>
      <x:c r="C35" s="32" t="n">
        <x:f>$T$13</x:f>
        <x:v>0.05</x:v>
      </x:c>
      <x:c r="D35" s="32" t="n">
        <x:f>$C$4*IF(ABS(($B$4-$B35)/$C35)&lt;='Assumptions'!$B$5,1,'Assumptions'!$B$5/ABS(($B$4-$B35)/$C35))</x:f>
        <x:v>1</x:v>
      </x:c>
      <x:c r="E35" s="32" t="n">
        <x:f>$C$5*IF(ABS(($B$5-$B35)/$C35)&lt;='Assumptions'!$B$5,1,'Assumptions'!$B$5/ABS(($B$5-$B35)/$C35))</x:f>
        <x:v>1</x:v>
      </x:c>
      <x:c r="F35" s="32" t="n">
        <x:f>$C$6*IF(ABS(($B$6-$B35)/$C35)&lt;='Assumptions'!$B$5,1,'Assumptions'!$B$5/ABS(($B$6-$B35)/$C35))</x:f>
        <x:v>1</x:v>
      </x:c>
      <x:c r="G35" s="32" t="n">
        <x:f>$C$7*IF(ABS(($B$7-$B35)/$C35)&lt;='Assumptions'!$B$5,1,'Assumptions'!$B$5/ABS(($B$7-$B35)/$C35))</x:f>
        <x:v>0.535429119368911</x:v>
      </x:c>
      <x:c r="H35" s="32" t="n">
        <x:f>$C$8*IF(ABS(($B$8-$B35)/$C35)&lt;='Assumptions'!$B$5,1,'Assumptions'!$B$5/ABS(($B$8-$B35)/$C35))</x:f>
        <x:v>0.24792011573708223</x:v>
      </x:c>
      <x:c r="I35" s="32" t="n">
        <x:f>$C$9*IF(ABS(($B$9-$B35)/$C35)&lt;='Assumptions'!$B$5,1,'Assumptions'!$B$5/ABS(($B$9-$B35)/$C35))</x:f>
        <x:v>0.06363495345458224</x:v>
      </x:c>
      <x:c r="J35" s="32" t="n">
        <x:f>SUM(D35:I35)</x:f>
        <x:v>3.8469841885605756</x:v>
      </x:c>
      <x:c r="K35" s="32" t="n">
        <x:f>(D35*$B$4+E35*$B$5+F35*$B$6+G35*$B$7+H35*$B$8+I35*$B$9)/J35</x:f>
        <x:v>3.7829100779900324</x:v>
      </x:c>
      <x:c r="L35" s="32" t="n">
        <x:f>ABS(K35-B35)</x:f>
        <x:v>7.848433014601142e-10</x:v>
      </x:c>
      <x:c r="M35" s="32" t="n">
        <x:f>IF(L34&gt;'Assumptions'!$B$7,1,0)</x:f>
        <x:v>1</x:v>
      </x:c>
      <x:c r="N35" s="32" t="n">
        <x:f>IF(M35=1,A35,0)</x:f>
        <x:v>12</x:v>
      </x:c>
      <x:c r="O35" s="33"/>
      <x:c r="P35" s="33"/>
      <x:c r="Q35" s="33"/>
      <x:c r="R35" s="33"/>
      <x:c r="S35" s="33"/>
      <x:c r="T35" s="33"/>
      <x:c r="U35" s="33"/>
      <x:c r="V35" s="33"/>
      <x:c r="W35" s="33"/>
    </x:row>
    <x:row r="36">
      <x:c r="A36" s="28" t="n">
        <x:v>13</x:v>
      </x:c>
      <x:c r="B36" s="32" t="n">
        <x:f>K35</x:f>
        <x:v>3.7829100779900324</x:v>
      </x:c>
      <x:c r="C36" s="32" t="n">
        <x:f>$T$13</x:f>
        <x:v>0.05</x:v>
      </x:c>
      <x:c r="D36" s="32" t="n">
        <x:f>$C$4*IF(ABS(($B$4-$B36)/$C36)&lt;='Assumptions'!$B$5,1,'Assumptions'!$B$5/ABS(($B$4-$B36)/$C36))</x:f>
        <x:v>1</x:v>
      </x:c>
      <x:c r="E36" s="32" t="n">
        <x:f>$C$5*IF(ABS(($B$5-$B36)/$C36)&lt;='Assumptions'!$B$5,1,'Assumptions'!$B$5/ABS(($B$5-$B36)/$C36))</x:f>
        <x:v>1</x:v>
      </x:c>
      <x:c r="F36" s="32" t="n">
        <x:f>$C$6*IF(ABS(($B$6-$B36)/$C36)&lt;='Assumptions'!$B$5,1,'Assumptions'!$B$5/ABS(($B$6-$B36)/$C36))</x:f>
        <x:v>1</x:v>
      </x:c>
      <x:c r="G36" s="32" t="n">
        <x:f>$C$7*IF(ABS(($B$7-$B36)/$C36)&lt;='Assumptions'!$B$5,1,'Assumptions'!$B$5/ABS(($B$7-$B36)/$C36))</x:f>
        <x:v>0.5354291223689415</x:v>
      </x:c>
      <x:c r="H36" s="32" t="n">
        <x:f>$C$8*IF(ABS(($B$8-$B36)/$C36)&lt;='Assumptions'!$B$5,1,'Assumptions'!$B$5/ABS(($B$8-$B36)/$C36))</x:f>
        <x:v>0.24792011337824144</x:v>
      </x:c>
      <x:c r="I36" s="32" t="n">
        <x:f>$C$9*IF(ABS(($B$9-$B36)/$C36)&lt;='Assumptions'!$B$5,1,'Assumptions'!$B$5/ABS(($B$9-$B36)/$C36))</x:f>
        <x:v>0.06363495364480042</x:v>
      </x:c>
      <x:c r="J36" s="32" t="n">
        <x:f>SUM(D36:I36)</x:f>
        <x:v>3.8469841893919834</x:v>
      </x:c>
      <x:c r="K36" s="32" t="n">
        <x:f>(D36*$B$4+E36*$B$5+F36*$B$6+G36*$B$7+H36*$B$8+I36*$B$9)/J36</x:f>
        <x:v>3.782910077817235</x:v>
      </x:c>
      <x:c r="L36" s="32" t="n">
        <x:f>ABS(K36-B36)</x:f>
        <x:v>1.7279733199870861e-10</x:v>
      </x:c>
      <x:c r="M36" s="32" t="n">
        <x:f>IF(L35&gt;'Assumptions'!$B$7,1,0)</x:f>
        <x:v>1</x:v>
      </x:c>
      <x:c r="N36" s="32" t="n">
        <x:f>IF(M36=1,A36,0)</x:f>
        <x:v>13</x:v>
      </x:c>
      <x:c r="O36" s="33"/>
      <x:c r="P36" s="33"/>
      <x:c r="Q36" s="33"/>
      <x:c r="R36" s="33"/>
      <x:c r="S36" s="33"/>
      <x:c r="T36" s="33"/>
      <x:c r="U36" s="33"/>
      <x:c r="V36" s="33"/>
      <x:c r="W36" s="33"/>
    </x:row>
    <x:row r="37">
      <x:c r="A37" s="28" t="n">
        <x:v>14</x:v>
      </x:c>
      <x:c r="B37" s="32" t="n">
        <x:f>K36</x:f>
        <x:v>3.782910077817235</x:v>
      </x:c>
      <x:c r="C37" s="32" t="n">
        <x:f>$T$13</x:f>
        <x:v>0.05</x:v>
      </x:c>
      <x:c r="D37" s="32" t="n">
        <x:f>$C$4*IF(ABS(($B$4-$B37)/$C37)&lt;='Assumptions'!$B$5,1,'Assumptions'!$B$5/ABS(($B$4-$B37)/$C37))</x:f>
        <x:v>1</x:v>
      </x:c>
      <x:c r="E37" s="32" t="n">
        <x:f>$C$5*IF(ABS(($B$5-$B37)/$C37)&lt;='Assumptions'!$B$5,1,'Assumptions'!$B$5/ABS(($B$5-$B37)/$C37))</x:f>
        <x:v>1</x:v>
      </x:c>
      <x:c r="F37" s="32" t="n">
        <x:f>$C$6*IF(ABS(($B$6-$B37)/$C37)&lt;='Assumptions'!$B$5,1,'Assumptions'!$B$5/ABS(($B$6-$B37)/$C37))</x:f>
        <x:v>1</x:v>
      </x:c>
      <x:c r="G37" s="32" t="n">
        <x:f>$C$7*IF(ABS(($B$7-$B37)/$C37)&lt;='Assumptions'!$B$5,1,'Assumptions'!$B$5/ABS(($B$7-$B37)/$C37))</x:f>
        <x:v>0.535429123029452</x:v>
      </x:c>
      <x:c r="H37" s="32" t="n">
        <x:f>$C$8*IF(ABS(($B$8-$B37)/$C37)&lt;='Assumptions'!$B$5,1,'Assumptions'!$B$5/ABS(($B$8-$B37)/$C37))</x:f>
        <x:v>0.24792011285890034</x:v>
      </x:c>
      <x:c r="I37" s="32" t="n">
        <x:f>$C$9*IF(ABS(($B$9-$B37)/$C37)&lt;='Assumptions'!$B$5,1,'Assumptions'!$B$5/ABS(($B$9-$B37)/$C37))</x:f>
        <x:v>0.06363495368668037</x:v>
      </x:c>
      <x:c r="J37" s="32" t="n">
        <x:f>SUM(D37:I37)</x:f>
        <x:v>3.8469841895750325</x:v>
      </x:c>
      <x:c r="K37" s="32" t="n">
        <x:f>(D37*$B$4+E37*$B$5+F37*$B$6+G37*$B$7+H37*$B$8+I37*$B$9)/J37</x:f>
        <x:v>3.7829100777791904</x:v>
      </x:c>
      <x:c r="L37" s="32" t="n">
        <x:f>ABS(K37-B37)</x:f>
        <x:v>3.8044678518645014e-11</x:v>
      </x:c>
      <x:c r="M37" s="32" t="n">
        <x:f>IF(L36&gt;'Assumptions'!$B$7,1,0)</x:f>
        <x:v>1</x:v>
      </x:c>
      <x:c r="N37" s="32" t="n">
        <x:f>IF(M37=1,A37,0)</x:f>
        <x:v>14</x:v>
      </x:c>
      <x:c r="O37" s="33"/>
      <x:c r="P37" s="33"/>
      <x:c r="Q37" s="33"/>
      <x:c r="R37" s="33"/>
      <x:c r="S37" s="33"/>
      <x:c r="T37" s="33"/>
      <x:c r="U37" s="33"/>
      <x:c r="V37" s="33"/>
      <x:c r="W37" s="33"/>
    </x:row>
    <x:row r="38">
      <x:c r="A38" s="28" t="n">
        <x:v>15</x:v>
      </x:c>
      <x:c r="B38" s="32" t="n">
        <x:f>K37</x:f>
        <x:v>3.7829100777791904</x:v>
      </x:c>
      <x:c r="C38" s="32" t="n">
        <x:f>$T$13</x:f>
        <x:v>0.05</x:v>
      </x:c>
      <x:c r="D38" s="32" t="n">
        <x:f>$C$4*IF(ABS(($B$4-$B38)/$C38)&lt;='Assumptions'!$B$5,1,'Assumptions'!$B$5/ABS(($B$4-$B38)/$C38))</x:f>
        <x:v>1</x:v>
      </x:c>
      <x:c r="E38" s="32" t="n">
        <x:f>$C$5*IF(ABS(($B$5-$B38)/$C38)&lt;='Assumptions'!$B$5,1,'Assumptions'!$B$5/ABS(($B$5-$B38)/$C38))</x:f>
        <x:v>1</x:v>
      </x:c>
      <x:c r="F38" s="32" t="n">
        <x:f>$C$6*IF(ABS(($B$6-$B38)/$C38)&lt;='Assumptions'!$B$5,1,'Assumptions'!$B$5/ABS(($B$6-$B38)/$C38))</x:f>
        <x:v>1</x:v>
      </x:c>
      <x:c r="G38" s="32" t="n">
        <x:f>$C$7*IF(ABS(($B$7-$B38)/$C38)&lt;='Assumptions'!$B$5,1,'Assumptions'!$B$5/ABS(($B$7-$B38)/$C38))</x:f>
        <x:v>0.5354291231748762</x:v>
      </x:c>
      <x:c r="H38" s="32" t="n">
        <x:f>$C$8*IF(ABS(($B$8-$B38)/$C38)&lt;='Assumptions'!$B$5,1,'Assumptions'!$B$5/ABS(($B$8-$B38)/$C38))</x:f>
        <x:v>0.24792011274455733</x:v>
      </x:c>
      <x:c r="I38" s="32" t="n">
        <x:f>$C$9*IF(ABS(($B$9-$B38)/$C38)&lt;='Assumptions'!$B$5,1,'Assumptions'!$B$5/ABS(($B$9-$B38)/$C38))</x:f>
        <x:v>0.06363495369590105</x:v>
      </x:c>
      <x:c r="J38" s="32" t="n">
        <x:f>SUM(D38:I38)</x:f>
        <x:v>3.8469841896153345</x:v>
      </x:c>
      <x:c r="K38" s="32" t="n">
        <x:f>(D38*$B$4+E38*$B$5+F38*$B$6+G38*$B$7+H38*$B$8+I38*$B$9)/J38</x:f>
        <x:v>3.7829100777708144</x:v>
      </x:c>
      <x:c r="L38" s="32" t="n">
        <x:f>ABS(K38-B38)</x:f>
        <x:v>8.375966586982031e-12</x:v>
      </x:c>
      <x:c r="M38" s="32" t="n">
        <x:f>IF(L37&gt;'Assumptions'!$B$7,1,0)</x:f>
        <x:v>0</x:v>
      </x:c>
      <x:c r="N38" s="32" t="n">
        <x:f>IF(M38=1,A38,0)</x:f>
        <x:v>0</x:v>
      </x:c>
      <x:c r="O38" s="33"/>
      <x:c r="P38" s="33"/>
      <x:c r="Q38" s="33"/>
      <x:c r="R38" s="33"/>
      <x:c r="S38" s="33"/>
      <x:c r="T38" s="33"/>
      <x:c r="U38" s="33"/>
      <x:c r="V38" s="33"/>
      <x:c r="W38" s="33"/>
    </x:row>
    <x:row r="39">
      <x:c r="A39" s="28" t="n">
        <x:v>16</x:v>
      </x:c>
      <x:c r="B39" s="32" t="n">
        <x:f>K38</x:f>
        <x:v>3.7829100777708144</x:v>
      </x:c>
      <x:c r="C39" s="32" t="n">
        <x:f>$T$13</x:f>
        <x:v>0.05</x:v>
      </x:c>
      <x:c r="D39" s="32" t="n">
        <x:f>$C$4*IF(ABS(($B$4-$B39)/$C39)&lt;='Assumptions'!$B$5,1,'Assumptions'!$B$5/ABS(($B$4-$B39)/$C39))</x:f>
        <x:v>1</x:v>
      </x:c>
      <x:c r="E39" s="32" t="n">
        <x:f>$C$5*IF(ABS(($B$5-$B39)/$C39)&lt;='Assumptions'!$B$5,1,'Assumptions'!$B$5/ABS(($B$5-$B39)/$C39))</x:f>
        <x:v>1</x:v>
      </x:c>
      <x:c r="F39" s="32" t="n">
        <x:f>$C$6*IF(ABS(($B$6-$B39)/$C39)&lt;='Assumptions'!$B$5,1,'Assumptions'!$B$5/ABS(($B$6-$B39)/$C39))</x:f>
        <x:v>1</x:v>
      </x:c>
      <x:c r="G39" s="32" t="n">
        <x:f>$C$7*IF(ABS(($B$7-$B39)/$C39)&lt;='Assumptions'!$B$5,1,'Assumptions'!$B$5/ABS(($B$7-$B39)/$C39))</x:f>
        <x:v>0.535429123206893</x:v>
      </x:c>
      <x:c r="H39" s="32" t="n">
        <x:f>$C$8*IF(ABS(($B$8-$B39)/$C39)&lt;='Assumptions'!$B$5,1,'Assumptions'!$B$5/ABS(($B$8-$B39)/$C39))</x:f>
        <x:v>0.24792011271938344</x:v>
      </x:c>
      <x:c r="I39" s="32" t="n">
        <x:f>$C$9*IF(ABS(($B$9-$B39)/$C39)&lt;='Assumptions'!$B$5,1,'Assumptions'!$B$5/ABS(($B$9-$B39)/$C39))</x:f>
        <x:v>0.0636349536979311</x:v>
      </x:c>
      <x:c r="J39" s="32" t="n">
        <x:f>SUM(D39:I39)</x:f>
        <x:v>3.8469841896242074</x:v>
      </x:c>
      <x:c r="K39" s="32" t="n">
        <x:f>(D39*$B$4+E39*$B$5+F39*$B$6+G39*$B$7+H39*$B$8+I39*$B$9)/J39</x:f>
        <x:v>3.78291007776897</x:v>
      </x:c>
      <x:c r="L39" s="32" t="n">
        <x:f>ABS(K39-B39)</x:f>
        <x:v>1.84430248850731e-12</x:v>
      </x:c>
      <x:c r="M39" s="32" t="n">
        <x:f>IF(L38&gt;'Assumptions'!$B$7,1,0)</x:f>
        <x:v>0</x:v>
      </x:c>
      <x:c r="N39" s="32" t="n">
        <x:f>IF(M39=1,A39,0)</x:f>
        <x:v>0</x:v>
      </x:c>
      <x:c r="O39" s="33"/>
      <x:c r="P39" s="33"/>
      <x:c r="Q39" s="33"/>
      <x:c r="R39" s="33"/>
      <x:c r="S39" s="33"/>
      <x:c r="T39" s="33"/>
      <x:c r="U39" s="33"/>
      <x:c r="V39" s="33"/>
      <x:c r="W39" s="33"/>
    </x:row>
    <x:row r="40">
      <x:c r="A40" s="28" t="n">
        <x:v>17</x:v>
      </x:c>
      <x:c r="B40" s="32" t="n">
        <x:f>K39</x:f>
        <x:v>3.78291007776897</x:v>
      </x:c>
      <x:c r="C40" s="32" t="n">
        <x:f>$T$13</x:f>
        <x:v>0.05</x:v>
      </x:c>
      <x:c r="D40" s="32" t="n">
        <x:f>$C$4*IF(ABS(($B$4-$B40)/$C40)&lt;='Assumptions'!$B$5,1,'Assumptions'!$B$5/ABS(($B$4-$B40)/$C40))</x:f>
        <x:v>1</x:v>
      </x:c>
      <x:c r="E40" s="32" t="n">
        <x:f>$C$5*IF(ABS(($B$5-$B40)/$C40)&lt;='Assumptions'!$B$5,1,'Assumptions'!$B$5/ABS(($B$5-$B40)/$C40))</x:f>
        <x:v>1</x:v>
      </x:c>
      <x:c r="F40" s="32" t="n">
        <x:f>$C$6*IF(ABS(($B$6-$B40)/$C40)&lt;='Assumptions'!$B$5,1,'Assumptions'!$B$5/ABS(($B$6-$B40)/$C40))</x:f>
        <x:v>1</x:v>
      </x:c>
      <x:c r="G40" s="32" t="n">
        <x:f>$C$7*IF(ABS(($B$7-$B40)/$C40)&lt;='Assumptions'!$B$5,1,'Assumptions'!$B$5/ABS(($B$7-$B40)/$C40))</x:f>
        <x:v>0.5354291232139428</x:v>
      </x:c>
      <x:c r="H40" s="32" t="n">
        <x:f>$C$8*IF(ABS(($B$8-$B40)/$C40)&lt;='Assumptions'!$B$5,1,'Assumptions'!$B$5/ABS(($B$8-$B40)/$C40))</x:f>
        <x:v>0.2479201127138404</x:v>
      </x:c>
      <x:c r="I40" s="32" t="n">
        <x:f>$C$9*IF(ABS(($B$9-$B40)/$C40)&lt;='Assumptions'!$B$5,1,'Assumptions'!$B$5/ABS(($B$9-$B40)/$C40))</x:f>
        <x:v>0.06363495369837809</x:v>
      </x:c>
      <x:c r="J40" s="32" t="n">
        <x:f>SUM(D40:I40)</x:f>
        <x:v>3.8469841896261614</x:v>
      </x:c>
      <x:c r="K40" s="32" t="n">
        <x:f>(D40*$B$4+E40*$B$5+F40*$B$6+G40*$B$7+H40*$B$8+I40*$B$9)/J40</x:f>
        <x:v>3.782910077768564</x:v>
      </x:c>
      <x:c r="L40" s="32" t="n">
        <x:f>ABS(K40-B40)</x:f>
        <x:v>4.063416270128073e-13</x:v>
      </x:c>
      <x:c r="M40" s="32" t="n">
        <x:f>IF(L39&gt;'Assumptions'!$B$7,1,0)</x:f>
        <x:v>0</x:v>
      </x:c>
      <x:c r="N40" s="32" t="n">
        <x:f>IF(M40=1,A40,0)</x:f>
        <x:v>0</x:v>
      </x:c>
      <x:c r="O40" s="33"/>
      <x:c r="P40" s="33"/>
      <x:c r="Q40" s="33"/>
      <x:c r="R40" s="33"/>
      <x:c r="S40" s="33"/>
      <x:c r="T40" s="33"/>
      <x:c r="U40" s="33"/>
      <x:c r="V40" s="33"/>
      <x:c r="W40" s="33"/>
    </x:row>
    <x:row r="41">
      <x:c r="A41" s="28" t="n">
        <x:v>18</x:v>
      </x:c>
      <x:c r="B41" s="32" t="n">
        <x:f>K40</x:f>
        <x:v>3.782910077768564</x:v>
      </x:c>
      <x:c r="C41" s="32" t="n">
        <x:f>$T$13</x:f>
        <x:v>0.05</x:v>
      </x:c>
      <x:c r="D41" s="32" t="n">
        <x:f>$C$4*IF(ABS(($B$4-$B41)/$C41)&lt;='Assumptions'!$B$5,1,'Assumptions'!$B$5/ABS(($B$4-$B41)/$C41))</x:f>
        <x:v>1</x:v>
      </x:c>
      <x:c r="E41" s="32" t="n">
        <x:f>$C$5*IF(ABS(($B$5-$B41)/$C41)&lt;='Assumptions'!$B$5,1,'Assumptions'!$B$5/ABS(($B$5-$B41)/$C41))</x:f>
        <x:v>1</x:v>
      </x:c>
      <x:c r="F41" s="32" t="n">
        <x:f>$C$6*IF(ABS(($B$6-$B41)/$C41)&lt;='Assumptions'!$B$5,1,'Assumptions'!$B$5/ABS(($B$6-$B41)/$C41))</x:f>
        <x:v>1</x:v>
      </x:c>
      <x:c r="G41" s="32" t="n">
        <x:f>$C$7*IF(ABS(($B$7-$B41)/$C41)&lt;='Assumptions'!$B$5,1,'Assumptions'!$B$5/ABS(($B$7-$B41)/$C41))</x:f>
        <x:v>0.535429123215496</x:v>
      </x:c>
      <x:c r="H41" s="32" t="n">
        <x:f>$C$8*IF(ABS(($B$8-$B41)/$C41)&lt;='Assumptions'!$B$5,1,'Assumptions'!$B$5/ABS(($B$8-$B41)/$C41))</x:f>
        <x:v>0.24792011271261916</x:v>
      </x:c>
      <x:c r="I41" s="32" t="n">
        <x:f>$C$9*IF(ABS(($B$9-$B41)/$C41)&lt;='Assumptions'!$B$5,1,'Assumptions'!$B$5/ABS(($B$9-$B41)/$C41))</x:f>
        <x:v>0.06363495369847658</x:v>
      </x:c>
      <x:c r="J41" s="32" t="n">
        <x:f>SUM(D41:I41)</x:f>
        <x:v>3.846984189626592</x:v>
      </x:c>
      <x:c r="K41" s="32" t="n">
        <x:f>(D41*$B$4+E41*$B$5+F41*$B$6+G41*$B$7+H41*$B$8+I41*$B$9)/J41</x:f>
        <x:v>3.782910077768474</x:v>
      </x:c>
      <x:c r="L41" s="32" t="n">
        <x:f>ABS(K41-B41)</x:f>
        <x:v>8.970602038971265e-14</x:v>
      </x:c>
      <x:c r="M41" s="32" t="n">
        <x:f>IF(L40&gt;'Assumptions'!$B$7,1,0)</x:f>
        <x:v>0</x:v>
      </x:c>
      <x:c r="N41" s="32" t="n">
        <x:f>IF(M41=1,A41,0)</x:f>
        <x:v>0</x:v>
      </x:c>
      <x:c r="O41" s="33"/>
      <x:c r="P41" s="33"/>
      <x:c r="Q41" s="33"/>
      <x:c r="R41" s="33"/>
      <x:c r="S41" s="33"/>
      <x:c r="T41" s="33"/>
      <x:c r="U41" s="33"/>
      <x:c r="V41" s="33"/>
      <x:c r="W41" s="33"/>
    </x:row>
    <x:row r="42">
      <x:c r="A42" s="28" t="n">
        <x:v>19</x:v>
      </x:c>
      <x:c r="B42" s="32" t="n">
        <x:f>K41</x:f>
        <x:v>3.782910077768474</x:v>
      </x:c>
      <x:c r="C42" s="32" t="n">
        <x:f>$T$13</x:f>
        <x:v>0.05</x:v>
      </x:c>
      <x:c r="D42" s="32" t="n">
        <x:f>$C$4*IF(ABS(($B$4-$B42)/$C42)&lt;='Assumptions'!$B$5,1,'Assumptions'!$B$5/ABS(($B$4-$B42)/$C42))</x:f>
        <x:v>1</x:v>
      </x:c>
      <x:c r="E42" s="32" t="n">
        <x:f>$C$5*IF(ABS(($B$5-$B42)/$C42)&lt;='Assumptions'!$B$5,1,'Assumptions'!$B$5/ABS(($B$5-$B42)/$C42))</x:f>
        <x:v>1</x:v>
      </x:c>
      <x:c r="F42" s="32" t="n">
        <x:f>$C$6*IF(ABS(($B$6-$B42)/$C42)&lt;='Assumptions'!$B$5,1,'Assumptions'!$B$5/ABS(($B$6-$B42)/$C42))</x:f>
        <x:v>1</x:v>
      </x:c>
      <x:c r="G42" s="32" t="n">
        <x:f>$C$7*IF(ABS(($B$7-$B42)/$C42)&lt;='Assumptions'!$B$5,1,'Assumptions'!$B$5/ABS(($B$7-$B42)/$C42))</x:f>
        <x:v>0.5354291232158388</x:v>
      </x:c>
      <x:c r="H42" s="32" t="n">
        <x:f>$C$8*IF(ABS(($B$8-$B42)/$C42)&lt;='Assumptions'!$B$5,1,'Assumptions'!$B$5/ABS(($B$8-$B42)/$C42))</x:f>
        <x:v>0.24792011271234954</x:v>
      </x:c>
      <x:c r="I42" s="32" t="n">
        <x:f>$C$9*IF(ABS(($B$9-$B42)/$C42)&lt;='Assumptions'!$B$5,1,'Assumptions'!$B$5/ABS(($B$9-$B42)/$C42))</x:f>
        <x:v>0.06363495369849831</x:v>
      </x:c>
      <x:c r="J42" s="32" t="n">
        <x:f>SUM(D42:I42)</x:f>
        <x:v>3.8469841896266868</x:v>
      </x:c>
      <x:c r="K42" s="32" t="n">
        <x:f>(D42*$B$4+E42*$B$5+F42*$B$6+G42*$B$7+H42*$B$8+I42*$B$9)/J42</x:f>
        <x:v>3.7829100777684546</x:v>
      </x:c>
      <x:c r="L42" s="32" t="n">
        <x:f>ABS(K42-B42)</x:f>
        <x:v>1.9539925233402755e-14</x:v>
      </x:c>
      <x:c r="M42" s="32" t="n">
        <x:f>IF(L41&gt;'Assumptions'!$B$7,1,0)</x:f>
        <x:v>0</x:v>
      </x:c>
      <x:c r="N42" s="32" t="n">
        <x:f>IF(M42=1,A42,0)</x:f>
        <x:v>0</x:v>
      </x:c>
      <x:c r="O42" s="33"/>
      <x:c r="P42" s="33"/>
      <x:c r="Q42" s="33"/>
      <x:c r="R42" s="33"/>
      <x:c r="S42" s="33"/>
      <x:c r="T42" s="33"/>
      <x:c r="U42" s="33"/>
      <x:c r="V42" s="33"/>
      <x:c r="W42" s="33"/>
    </x:row>
    <x:row r="43">
      <x:c r="A43" s="28" t="n">
        <x:v>20</x:v>
      </x:c>
      <x:c r="B43" s="32" t="n">
        <x:f>K42</x:f>
        <x:v>3.7829100777684546</x:v>
      </x:c>
      <x:c r="C43" s="32" t="n">
        <x:f>$T$13</x:f>
        <x:v>0.05</x:v>
      </x:c>
      <x:c r="D43" s="32" t="n">
        <x:f>$C$4*IF(ABS(($B$4-$B43)/$C43)&lt;='Assumptions'!$B$5,1,'Assumptions'!$B$5/ABS(($B$4-$B43)/$C43))</x:f>
        <x:v>1</x:v>
      </x:c>
      <x:c r="E43" s="32" t="n">
        <x:f>$C$5*IF(ABS(($B$5-$B43)/$C43)&lt;='Assumptions'!$B$5,1,'Assumptions'!$B$5/ABS(($B$5-$B43)/$C43))</x:f>
        <x:v>1</x:v>
      </x:c>
      <x:c r="F43" s="32" t="n">
        <x:f>$C$6*IF(ABS(($B$6-$B43)/$C43)&lt;='Assumptions'!$B$5,1,'Assumptions'!$B$5/ABS(($B$6-$B43)/$C43))</x:f>
        <x:v>1</x:v>
      </x:c>
      <x:c r="G43" s="32" t="n">
        <x:f>$C$7*IF(ABS(($B$7-$B43)/$C43)&lt;='Assumptions'!$B$5,1,'Assumptions'!$B$5/ABS(($B$7-$B43)/$C43))</x:f>
        <x:v>0.5354291232159135</x:v>
      </x:c>
      <x:c r="H43" s="32" t="n">
        <x:f>$C$8*IF(ABS(($B$8-$B43)/$C43)&lt;='Assumptions'!$B$5,1,'Assumptions'!$B$5/ABS(($B$8-$B43)/$C43))</x:f>
        <x:v>0.2479201127122908</x:v>
      </x:c>
      <x:c r="I43" s="32" t="n">
        <x:f>$C$9*IF(ABS(($B$9-$B43)/$C43)&lt;='Assumptions'!$B$5,1,'Assumptions'!$B$5/ABS(($B$9-$B43)/$C43))</x:f>
        <x:v>0.06363495369850304</x:v>
      </x:c>
      <x:c r="J43" s="32" t="n">
        <x:f>SUM(D43:I43)</x:f>
        <x:v>3.8469841896267076</x:v>
      </x:c>
      <x:c r="K43" s="32" t="n">
        <x:f>(D43*$B$4+E43*$B$5+F43*$B$6+G43*$B$7+H43*$B$8+I43*$B$9)/J43</x:f>
        <x:v>3.78291007776845</x:v>
      </x:c>
      <x:c r="L43" s="32" t="n">
        <x:f>ABS(K43-B43)</x:f>
        <x:v>4.440892098500626e-15</x:v>
      </x:c>
      <x:c r="M43" s="32" t="n">
        <x:f>IF(L42&gt;'Assumptions'!$B$7,1,0)</x:f>
        <x:v>0</x:v>
      </x:c>
      <x:c r="N43" s="32" t="n">
        <x:f>IF(M43=1,A43,0)</x:f>
        <x:v>0</x:v>
      </x:c>
      <x:c r="O43" s="33"/>
      <x:c r="P43" s="33"/>
      <x:c r="Q43" s="33"/>
      <x:c r="R43" s="33"/>
      <x:c r="S43" s="33"/>
      <x:c r="T43" s="33"/>
      <x:c r="U43" s="33"/>
      <x:c r="V43" s="33"/>
      <x:c r="W43" s="33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</x:row>
  </x:sheetData>
  <x:mergeCells>
    <x:mergeCell ref="A1:W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5" hidden="0" customWidth="1"/>
  </x:cols>
  <x:sheetData>
    <x:row r="1" ht="30" customHeight="1">
      <x:c r="A1" s="23" t="str">
        <x:v>Lognormal Predictive Distribution — Independently Formula-Driven</x:v>
      </x:c>
      <x:c r="B1" s="23" t="str">
        <x:v>Lognormal Predictive Distribution — Independently Formula-Driven</x:v>
      </x:c>
      <x:c r="C1" s="23" t="str">
        <x:v>Lognormal Predictive Distribution — Independently Formula-Driven</x:v>
      </x:c>
      <x:c r="D1" s="23" t="str">
        <x:v>Lognormal Predictive Distribution — Independently Formula-Driven</x:v>
      </x:c>
      <x:c r="E1" s="23" t="str">
        <x:v>Lognormal Predictive Distribution — Independently Formula-Driven</x:v>
      </x:c>
      <x:c r="F1" s="23" t="str">
        <x:v>Lognormal Predictive Distribution — Independently Formula-Driven</x:v>
      </x:c>
      <x:c r="G1" s="23" t="str">
        <x:v>Lognormal Predictive Distribution — Independently Formula-Driven</x:v>
      </x:c>
      <x:c r="H1" s="23" t="str">
        <x:v>Lognormal Predictive Distribution — Independently Formula-Driven</x:v>
      </x:c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</x:row>
    <x:row r="3">
      <x:c r="A3" s="26" t="str">
        <x:v>Component</x:v>
      </x:c>
      <x:c r="B3" s="26" t="str">
        <x:v>Calculated value</x:v>
      </x:c>
      <x:c r="C3" s="24"/>
      <x:c r="D3" s="26" t="str">
        <x:v>Probability</x:v>
      </x:c>
      <x:c r="E3" s="26" t="str">
        <x:v>Z score</x:v>
      </x:c>
      <x:c r="F3" s="26" t="str">
        <x:v>Unbounded ms</x:v>
      </x:c>
      <x:c r="G3" s="26" t="str">
        <x:v>Bounded positive ms</x:v>
      </x:c>
      <x:c r="H3" s="26" t="str">
        <x:v>Formula dependency</x:v>
      </x:c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</x:row>
    <x:row r="4">
      <x:c r="A4" s="28" t="str">
        <x:v>Final log center</x:v>
      </x:c>
      <x:c r="B4" s="28" t="n">
        <x:f>INDEX('IRLS Trace'!$K$24:$K$43,MATCH(MAX('IRLS Trace'!$N$24:$N$43),'IRLS Trace'!$N$24:$N$43,0))</x:f>
        <x:v>3.7829100777791904</x:v>
      </x:c>
      <x:c r="C4" s="24"/>
      <x:c r="D4" s="28" t="n">
        <x:f>'Assumptions'!D27</x:f>
        <x:v>0.05</x:v>
      </x:c>
      <x:c r="E4" s="28" t="n">
        <x:f>'Assumptions'!E27</x:f>
        <x:v>-1.645</x:v>
      </x:c>
      <x:c r="F4" s="28" t="n">
        <x:f>ROUND(EXP($B$4+E4*$B$11)*1000,0)</x:f>
        <x:v>22249</x:v>
      </x:c>
      <x:c r="G4" s="28" t="n">
        <x:f>MAX('Assumptions'!$E$20,MIN('Assumptions'!$E$21,F4))</x:f>
        <x:v>22249</x:v>
      </x:c>
      <x:c r="H4" s="28" t="str">
        <x:f>"Inputs-&gt;Governor-&gt;Transforms-&gt;IRLS("&amp;MAX('IRLS Trace'!$N$24:$N$43)&amp;")-&gt;Distribution"</x:f>
        <x:v>Inputs-&gt;Governor-&gt;Transforms-&gt;IRLS(14)-&gt;Distribution</x:v>
      </x:c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</x:row>
    <x:row r="5">
      <x:c r="A5" s="28" t="str">
        <x:v>Personal weight</x:v>
      </x:c>
      <x:c r="B5" s="28" t="n">
        <x:f>SUM('Transforms'!O4:O6)</x:f>
        <x:v>1.495448074380641</x:v>
      </x:c>
      <x:c r="C5" s="24"/>
      <x:c r="D5" s="28" t="n">
        <x:f>'Assumptions'!D28</x:f>
        <x:v>0.25</x:v>
      </x:c>
      <x:c r="E5" s="28" t="n">
        <x:f>'Assumptions'!E28</x:f>
        <x:v>-0.674</x:v>
      </x:c>
      <x:c r="F5" s="28" t="n">
        <x:f>ROUND(EXP($B$4+E5*$B$11)*1000,0)</x:f>
        <x:v>33250</x:v>
      </x:c>
      <x:c r="G5" s="28" t="n">
        <x:f>MAX('Assumptions'!$E$20,MIN('Assumptions'!$E$21,F5))</x:f>
        <x:v>33250</x:v>
      </x:c>
      <x:c r="H5" s="28" t="str">
        <x:f>"Inputs-&gt;Governor-&gt;Transforms-&gt;IRLS("&amp;MAX('IRLS Trace'!$N$24:$N$43)&amp;")-&gt;Distribution"</x:f>
        <x:v>Inputs-&gt;Governor-&gt;Transforms-&gt;IRLS(14)-&gt;Distribution</x:v>
      </x:c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</x:row>
    <x:row r="6">
      <x:c r="A6" s="28" t="str">
        <x:v>Effective sample size</x:v>
      </x:c>
      <x:c r="B6" s="28" t="n">
        <x:f>B5^2/SUMSQ('Transforms'!O4:O6)</x:f>
        <x:v>1.989684676867727</x:v>
      </x:c>
      <x:c r="C6" s="24"/>
      <x:c r="D6" s="28" t="n">
        <x:f>'Assumptions'!D29</x:f>
        <x:v>0.5</x:v>
      </x:c>
      <x:c r="E6" s="28" t="n">
        <x:f>'Assumptions'!E29</x:f>
        <x:v>0</x:v>
      </x:c>
      <x:c r="F6" s="28" t="n">
        <x:f>ROUND(EXP($B$4+E6*$B$11)*1000,0)</x:f>
        <x:v>43944</x:v>
      </x:c>
      <x:c r="G6" s="28" t="n">
        <x:f>MAX('Assumptions'!$E$20,MIN('Assumptions'!$E$21,F6))</x:f>
        <x:v>43944</x:v>
      </x:c>
      <x:c r="H6" s="28" t="str">
        <x:f>"Inputs-&gt;Governor-&gt;Transforms-&gt;IRLS("&amp;MAX('IRLS Trace'!$N$24:$N$43)&amp;")-&gt;Distribution"</x:f>
        <x:v>Inputs-&gt;Governor-&gt;Transforms-&gt;IRLS(14)-&gt;Distribution</x:v>
      </x:c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</x:row>
    <x:row r="7">
      <x:c r="A7" s="28" t="str">
        <x:v>Robust residual variance</x:v>
      </x:c>
      <x:c r="B7" s="28" t="n">
        <x:f>SUM('Transforms'!S4:S6)/B5</x:f>
        <x:v>0.0056250000000000015</x:v>
      </x:c>
      <x:c r="C7" s="24"/>
      <x:c r="D7" s="28" t="n">
        <x:f>'Assumptions'!D30</x:f>
        <x:v>0.75</x:v>
      </x:c>
      <x:c r="E7" s="28" t="n">
        <x:f>'Assumptions'!E30</x:f>
        <x:v>0.674</x:v>
      </x:c>
      <x:c r="F7" s="28" t="n">
        <x:f>ROUND(EXP($B$4+E7*$B$11)*1000,0)</x:f>
        <x:v>58077</x:v>
      </x:c>
      <x:c r="G7" s="28" t="n">
        <x:f>MAX('Assumptions'!$E$20,MIN('Assumptions'!$E$21,F7))</x:f>
        <x:v>58077</x:v>
      </x:c>
      <x:c r="H7" s="28" t="str">
        <x:f>"Inputs-&gt;Governor-&gt;Transforms-&gt;IRLS("&amp;MAX('IRLS Trace'!$N$24:$N$43)&amp;")-&gt;Distribution"</x:f>
        <x:v>Inputs-&gt;Governor-&gt;Transforms-&gt;IRLS(14)-&gt;Distribution</x:v>
      </x:c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</x:row>
    <x:row r="8">
      <x:c r="A8" s="28" t="str">
        <x:v>Weighted conversion variance</x:v>
      </x:c>
      <x:c r="B8" s="28" t="n">
        <x:f>SUMPRODUCT('Transforms'!O4:O6,'Transforms'!N4:N6)/B5</x:f>
        <x:v>0.0015207296911243112</x:v>
      </x:c>
      <x:c r="C8" s="24"/>
      <x:c r="D8" s="28" t="n">
        <x:f>'Assumptions'!D31</x:f>
        <x:v>0.95</x:v>
      </x:c>
      <x:c r="E8" s="28" t="n">
        <x:f>'Assumptions'!E31</x:f>
        <x:v>1.645</x:v>
      </x:c>
      <x:c r="F8" s="28" t="n">
        <x:f>ROUND(EXP($B$4+E8*$B$11)*1000,0)</x:f>
        <x:v>86791</x:v>
      </x:c>
      <x:c r="G8" s="28" t="n">
        <x:f>MAX('Assumptions'!$E$20,MIN('Assumptions'!$E$21,F8))</x:f>
        <x:v>86791</x:v>
      </x:c>
      <x:c r="H8" s="28" t="str">
        <x:f>"Inputs-&gt;Governor-&gt;Transforms-&gt;IRLS("&amp;MAX('IRLS Trace'!$N$24:$N$43)&amp;")-&gt;Distribution"</x:f>
        <x:v>Inputs-&gt;Governor-&gt;Transforms-&gt;IRLS(14)-&gt;Distribution</x:v>
      </x:c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</x:row>
    <x:row r="9">
      <x:c r="A9" s="28" t="str">
        <x:v>Prior variance</x:v>
      </x:c>
      <x:c r="B9" s="28" t="n">
        <x:f>INDEX('Assumptions'!$P$5:$P$10,'Assumptions'!$I$16-4)/(INDEX('Assumptions'!$P$5:$P$10,'Assumptions'!$I$16-4)+B5)*INDEX('Assumptions'!$O$5:$O$10,'Assumptions'!$I$16-4)</x:f>
        <x:v>0.1067746734158712</x:v>
      </x:c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</x:row>
    <x:row r="10">
      <x:c r="A10" s="28" t="str">
        <x:v>Scarcity inflation</x:v>
      </x:c>
      <x:c r="B10" s="28" t="n">
        <x:f>1+1/MAX(B6,0.25)</x:f>
        <x:v>1.502592200475834</x:v>
      </x:c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</x:row>
    <x:row r="11">
      <x:c r="A11" s="28" t="str">
        <x:v>Predictive log sigma</x:v>
      </x:c>
      <x:c r="B11" s="28" t="n">
        <x:f>MAX('Assumptions'!$E$18,MIN('Assumptions'!$E$19,SQRT((B7+B8+B9)*B10)))</x:f>
        <x:v>0.4137341044482971</x:v>
      </x:c>
      <x:c r="C11" s="24"/>
      <x:c r="D11" s="26" t="str">
        <x:v>Canonical audit projection</x:v>
      </x:c>
      <x:c r="E11" s="26" t="str">
        <x:v>Formula-derived value</x:v>
      </x:c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</x:row>
    <x:row r="12">
      <x:c r="A12" s="28" t="str">
        <x:v>Median ms</x:v>
      </x:c>
      <x:c r="B12" s="28" t="n">
        <x:f>ROUND(EXP(B4)*1000,0)</x:f>
        <x:v>43944</x:v>
      </x:c>
      <x:c r="C12" s="24"/>
      <x:c r="D12" s="28" t="str">
        <x:v>Input row 1</x:v>
      </x:c>
      <x:c r="E12" s="35" t="str">
        <x:f>'Inputs'!A13&amp;"|"&amp;'Inputs'!B13&amp;"|"&amp;'Inputs'!C13&amp;"|"&amp;'Inputs'!D13&amp;"|"&amp;'Governor Projection'!C5&amp;"|"&amp;'Governor Projection'!D5&amp;"|"&amp;'Governor Projection'!E5</x:f>
        <x:v>1|38200|underhand|300|0|issued_official|active</x:v>
      </x:c>
      <x:c r="F12" s="35"/>
      <x:c r="G12" s="35"/>
      <x:c r="H12" s="35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</x:row>
    <x:row r="13">
      <x:c r="A13" s="28" t="str">
        <x:v>Central 90% half-width ms</x:v>
      </x:c>
      <x:c r="B13" s="28" t="n">
        <x:f>(G8-G4)/2</x:f>
        <x:v>32271</x:v>
      </x:c>
      <x:c r="C13" s="24"/>
      <x:c r="D13" s="28" t="str">
        <x:v>Input row 2</x:v>
      </x:c>
      <x:c r="E13" s="35" t="str">
        <x:f>'Inputs'!A14&amp;"|"&amp;'Inputs'!B14&amp;"|"&amp;'Inputs'!C14&amp;"|"&amp;'Inputs'!D14&amp;"|"&amp;'Governor Projection'!C6&amp;"|"&amp;'Governor Projection'!D6&amp;"|"&amp;'Governor Projection'!E6</x:f>
        <x:v>2|40100|underhand|275|365|verified_historical|other_authoritative</x:v>
      </x:c>
      <x:c r="F13" s="35"/>
      <x:c r="G13" s="35"/>
      <x:c r="H13" s="35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</x:row>
    <x:row r="14">
      <x:c r="A14" s="24"/>
      <x:c r="B14" s="24"/>
      <x:c r="C14" s="24"/>
      <x:c r="D14" s="28" t="str">
        <x:v>Input row 3</x:v>
      </x:c>
      <x:c r="E14" s="35" t="str">
        <x:f>'Inputs'!A15&amp;"|"&amp;'Inputs'!B15&amp;"|"&amp;'Inputs'!C15&amp;"|"&amp;'Inputs'!D15&amp;"|"&amp;'Governor Projection'!C7&amp;"|"&amp;'Governor Projection'!D7&amp;"|"&amp;'Governor Projection'!E7</x:f>
        <x:v>3|36500|standing_block|300|730|issued_official|legacy</x:v>
      </x:c>
      <x:c r="F14" s="35"/>
      <x:c r="G14" s="35"/>
      <x:c r="H14" s="35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</x:row>
    <x:row r="15">
      <x:c r="A15" s="24"/>
      <x:c r="B15" s="24"/>
      <x:c r="C15" s="24"/>
      <x:c r="D15" s="28" t="str">
        <x:v>Governor receipt</x:v>
      </x:c>
      <x:c r="E15" s="35" t="str">
        <x:f>'Inputs'!$E$10</x:f>
        <x:v>924f418092da5b4c9507aa98f80a67114203387add5bbeb1c212a224aa74ab20</x:v>
      </x:c>
      <x:c r="F15" s="35"/>
      <x:c r="G15" s="35"/>
      <x:c r="H15" s="35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</x:row>
    <x:row r="16">
      <x:c r="A16" s="24"/>
      <x:c r="B16" s="24"/>
      <x:c r="C16" s="24"/>
      <x:c r="D16" s="28" t="str">
        <x:v>Prior lineage</x:v>
      </x:c>
      <x:c r="E16" s="35" t="str">
        <x:f>'Assumptions'!$I$20</x:f>
        <x:v>be67bb87329d79a404244a99832bebae1275271faca40713ed7e784e68727d4d</x:v>
      </x:c>
      <x:c r="F16" s="35"/>
      <x:c r="G16" s="35"/>
      <x:c r="H16" s="35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</x:row>
  </x:sheetData>
  <x:mergeCells>
    <x:mergeCell ref="A1:H1"/>
    <x:mergeCell ref="E12:H12"/>
    <x:mergeCell ref="E13:H13"/>
    <x:mergeCell ref="E14:H14"/>
    <x:mergeCell ref="E15:H15"/>
    <x:mergeCell ref="E16:H16"/>
  </x:mergeCells>
  <x:pageMargins left="0.7" right="0.7" top="0.75" bottom="0.75" header="0.3" footer="0.3"/>
</x:worksheet>
</file>